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9756a7f980ffc098/Documents/ProfessionAI/CORSO 3 - Inferenza Statistica con Excel/Progetto/"/>
    </mc:Choice>
  </mc:AlternateContent>
  <xr:revisionPtr revIDLastSave="4" documentId="13_ncr:1_{7797E47C-2D55-44C2-93E2-9AB249692802}" xr6:coauthVersionLast="47" xr6:coauthVersionMax="47" xr10:uidLastSave="{606FEA9F-E337-4DD5-A2B4-D3EDDF4EFF8C}"/>
  <bookViews>
    <workbookView xWindow="-110" yWindow="-110" windowWidth="25820" windowHeight="13900" activeTab="4" xr2:uid="{00000000-000D-0000-FFFF-FFFF00000000}"/>
  </bookViews>
  <sheets>
    <sheet name="Parameters" sheetId="4" r:id="rId1"/>
    <sheet name="Data" sheetId="5" r:id="rId2"/>
    <sheet name="Sample" sheetId="6" r:id="rId3"/>
    <sheet name="Statistical Insight" sheetId="7" r:id="rId4"/>
    <sheet name=" (Un)correlated Variables" sheetId="8" r:id="rId5"/>
    <sheet name="Linear Regression" sheetId="9" r:id="rId6"/>
  </sheets>
  <definedNames>
    <definedName name="_xlnm._FilterDatabase" localSheetId="2" hidden="1">Sample!$A$1:$C$251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4" i="9" l="1"/>
  <c r="C2" i="7"/>
  <c r="B2" i="7"/>
  <c r="D6" i="7" s="1"/>
  <c r="A2" i="7"/>
  <c r="D4" i="7"/>
  <c r="E2" i="7"/>
  <c r="B5" i="7"/>
  <c r="H2" i="8" l="1"/>
  <c r="F2" i="8"/>
  <c r="C2" i="6" a="1"/>
  <c r="C2" i="6" s="1"/>
  <c r="B2" i="6" a="1"/>
  <c r="B2" i="6" s="1"/>
  <c r="A2" i="6" a="1"/>
  <c r="A2"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<sst xmlns="http://schemas.openxmlformats.org/spreadsheetml/2006/main" count="27" uniqueCount="27">
  <si>
    <t>Età</t>
  </si>
  <si>
    <t>Probabilità</t>
  </si>
  <si>
    <t>Media</t>
  </si>
  <si>
    <t>Deviazione Standard</t>
  </si>
  <si>
    <t>Parametro</t>
  </si>
  <si>
    <t>Valore</t>
  </si>
  <si>
    <t>0.95</t>
  </si>
  <si>
    <t xml:space="preserve">Età (Età Generata)	</t>
  </si>
  <si>
    <t>Gruppo (1-4)</t>
  </si>
  <si>
    <t>Gruppo</t>
  </si>
  <si>
    <t>Sotto-campione</t>
  </si>
  <si>
    <t>STDDEV</t>
  </si>
  <si>
    <t>EXPECTED VALUE</t>
  </si>
  <si>
    <t>COUNT</t>
  </si>
  <si>
    <t>CONFIDENCE RATE</t>
  </si>
  <si>
    <t>Estimation of p parameter</t>
  </si>
  <si>
    <t>Sample data</t>
  </si>
  <si>
    <t>Average hours of sleep per night</t>
  </si>
  <si>
    <t>Shoe size (EU)</t>
  </si>
  <si>
    <t>Correlation between age and average hours of sleep per night</t>
  </si>
  <si>
    <t>Correlation between age and shoe size (EU)</t>
  </si>
  <si>
    <t>Y (age)</t>
  </si>
  <si>
    <t>X (rank)</t>
  </si>
  <si>
    <t>Lower Bound:</t>
  </si>
  <si>
    <t>Upper Bound:</t>
  </si>
  <si>
    <t>Z:</t>
  </si>
  <si>
    <t>Età prevista per il partecipante 160 (anni)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</si>
</sst>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
  </numFmts>
  <fonts count="3" x14ac:knownFonts="1">
    <font>
      <sz val="11"/>
      <color theme="1"/>
      <name val="Calibri"/>
      <family val="2"/>
      <scheme val="minor"/>
    </font>
    <font>
      <sz val="12"/>
      <color theme="8"/>
      <name val="Comic Sans MS"/>
      <family val="4"/>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center"/>
    </xf>
    <xf numFmtId="0" fontId="0" fillId="0" borderId="2" xfId="0" applyBorder="1"/>
    <xf numFmtId="0" fontId="0" fillId="0" borderId="2" xfId="0" applyBorder="1" applyAlignment="1">
      <alignment horizontal="right"/>
    </xf>
    <xf numFmtId="0" fontId="0" fillId="2" borderId="2" xfId="0" applyFill="1" applyBorder="1"/>
    <xf numFmtId="0" fontId="1" fillId="0" borderId="1" xfId="0" applyFont="1" applyBorder="1" applyAlignment="1">
      <alignment horizontal="center" vertical="center" wrapText="1"/>
    </xf>
    <xf numFmtId="0" fontId="0" fillId="0" borderId="3" xfId="0" applyBorder="1"/>
    <xf numFmtId="0" fontId="0" fillId="0" borderId="4" xfId="0" applyBorder="1"/>
    <xf numFmtId="9" fontId="0" fillId="0" borderId="2" xfId="1" applyFont="1" applyBorder="1"/>
    <xf numFmtId="168" fontId="0" fillId="0" borderId="2" xfId="0" applyNumberFormat="1" applyBorder="1"/>
    <xf numFmtId="2" fontId="0" fillId="0" borderId="4" xfId="0" applyNumberFormat="1" applyBorder="1"/>
    <xf numFmtId="2" fontId="0" fillId="0" borderId="2" xfId="0" applyNumberFormat="1" applyBorder="1"/>
  </cellXfs>
  <cellStyles count="2">
    <cellStyle name="Normale" xfId="0" builtinId="0"/>
    <cellStyle name="Percentual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'Linear Regression'!$B$1</c:f>
              <c:strCache>
                <c:ptCount val="1"/>
                <c:pt idx="0">
                  <c:v>Y (age)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3127121609798775"/>
                  <c:y val="-0.3369649579022021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rendlineLbl>
          </c:trendline>
          <c:trendline>
            <c:spPr>
              <a:ln w="19050" cap="rnd">
                <a:solidFill>
                  <a:schemeClr val="accent1"/>
                </a:solidFill>
                <a:prstDash val="sysDot"/>
              </a:ln>
              <a:effectLst/>
            </c:spPr>
            <c:trendlineType val="linear"/>
            <c:dispRSqr val="0"/>
            <c:dispEq val="0"/>
          </c:trendline>
          <c:xVal>
            <c:numRef>
              <c:f>'Linear Regression'!$A$2:$A$251</c:f>
              <c:numCache>
                <c:formatCode>General</c:formatCode>
                <c:ptCount val="2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numCache>
            </c:numRef>
          </c:xVal>
          <c:yVal>
            <c:numRef>
              <c:f>'Linear Regression'!$B$2:$B$251</c:f>
              <c:numCache>
                <c:formatCode>General</c:formatCode>
                <c:ptCount val="250"/>
                <c:pt idx="0">
                  <c:v>38</c:v>
                </c:pt>
                <c:pt idx="1">
                  <c:v>38</c:v>
                </c:pt>
                <c:pt idx="2">
                  <c:v>36</c:v>
                </c:pt>
                <c:pt idx="3">
                  <c:v>50</c:v>
                </c:pt>
                <c:pt idx="4">
                  <c:v>53</c:v>
                </c:pt>
                <c:pt idx="5">
                  <c:v>58</c:v>
                </c:pt>
                <c:pt idx="6">
                  <c:v>44</c:v>
                </c:pt>
                <c:pt idx="7">
                  <c:v>32</c:v>
                </c:pt>
                <c:pt idx="8">
                  <c:v>53</c:v>
                </c:pt>
                <c:pt idx="9">
                  <c:v>45</c:v>
                </c:pt>
                <c:pt idx="10">
                  <c:v>20</c:v>
                </c:pt>
                <c:pt idx="11">
                  <c:v>47</c:v>
                </c:pt>
                <c:pt idx="12">
                  <c:v>44</c:v>
                </c:pt>
                <c:pt idx="13">
                  <c:v>40</c:v>
                </c:pt>
                <c:pt idx="14">
                  <c:v>45</c:v>
                </c:pt>
                <c:pt idx="15">
                  <c:v>34</c:v>
                </c:pt>
                <c:pt idx="16">
                  <c:v>58</c:v>
                </c:pt>
                <c:pt idx="17">
                  <c:v>37</c:v>
                </c:pt>
                <c:pt idx="18">
                  <c:v>54</c:v>
                </c:pt>
                <c:pt idx="19">
                  <c:v>34</c:v>
                </c:pt>
                <c:pt idx="20">
                  <c:v>41</c:v>
                </c:pt>
                <c:pt idx="21">
                  <c:v>11</c:v>
                </c:pt>
                <c:pt idx="22">
                  <c:v>64</c:v>
                </c:pt>
                <c:pt idx="23">
                  <c:v>30</c:v>
                </c:pt>
                <c:pt idx="24">
                  <c:v>50</c:v>
                </c:pt>
                <c:pt idx="25">
                  <c:v>21</c:v>
                </c:pt>
                <c:pt idx="26">
                  <c:v>35</c:v>
                </c:pt>
                <c:pt idx="27">
                  <c:v>36</c:v>
                </c:pt>
                <c:pt idx="28">
                  <c:v>20</c:v>
                </c:pt>
                <c:pt idx="29">
                  <c:v>47</c:v>
                </c:pt>
                <c:pt idx="30">
                  <c:v>42</c:v>
                </c:pt>
                <c:pt idx="31">
                  <c:v>42</c:v>
                </c:pt>
                <c:pt idx="32">
                  <c:v>42</c:v>
                </c:pt>
                <c:pt idx="33">
                  <c:v>32</c:v>
                </c:pt>
                <c:pt idx="34">
                  <c:v>48</c:v>
                </c:pt>
                <c:pt idx="35">
                  <c:v>47</c:v>
                </c:pt>
                <c:pt idx="36">
                  <c:v>35</c:v>
                </c:pt>
                <c:pt idx="37">
                  <c:v>27</c:v>
                </c:pt>
                <c:pt idx="38">
                  <c:v>42</c:v>
                </c:pt>
                <c:pt idx="39">
                  <c:v>37</c:v>
                </c:pt>
                <c:pt idx="40">
                  <c:v>49</c:v>
                </c:pt>
                <c:pt idx="41">
                  <c:v>37</c:v>
                </c:pt>
                <c:pt idx="42">
                  <c:v>47</c:v>
                </c:pt>
                <c:pt idx="43">
                  <c:v>26</c:v>
                </c:pt>
                <c:pt idx="44">
                  <c:v>41</c:v>
                </c:pt>
                <c:pt idx="45">
                  <c:v>47</c:v>
                </c:pt>
                <c:pt idx="46">
                  <c:v>44</c:v>
                </c:pt>
                <c:pt idx="47">
                  <c:v>49</c:v>
                </c:pt>
                <c:pt idx="48">
                  <c:v>38</c:v>
                </c:pt>
                <c:pt idx="49">
                  <c:v>33</c:v>
                </c:pt>
                <c:pt idx="50">
                  <c:v>47</c:v>
                </c:pt>
                <c:pt idx="51">
                  <c:v>35</c:v>
                </c:pt>
                <c:pt idx="52">
                  <c:v>47</c:v>
                </c:pt>
                <c:pt idx="53">
                  <c:v>21</c:v>
                </c:pt>
                <c:pt idx="54">
                  <c:v>40</c:v>
                </c:pt>
                <c:pt idx="55">
                  <c:v>46</c:v>
                </c:pt>
                <c:pt idx="56">
                  <c:v>45</c:v>
                </c:pt>
                <c:pt idx="57">
                  <c:v>44</c:v>
                </c:pt>
                <c:pt idx="58">
                  <c:v>33</c:v>
                </c:pt>
                <c:pt idx="59">
                  <c:v>42</c:v>
                </c:pt>
                <c:pt idx="60">
                  <c:v>36</c:v>
                </c:pt>
                <c:pt idx="61">
                  <c:v>14</c:v>
                </c:pt>
                <c:pt idx="62">
                  <c:v>36</c:v>
                </c:pt>
                <c:pt idx="63">
                  <c:v>45</c:v>
                </c:pt>
                <c:pt idx="64">
                  <c:v>37</c:v>
                </c:pt>
                <c:pt idx="65">
                  <c:v>17</c:v>
                </c:pt>
                <c:pt idx="66">
                  <c:v>28</c:v>
                </c:pt>
                <c:pt idx="67">
                  <c:v>37</c:v>
                </c:pt>
                <c:pt idx="68">
                  <c:v>25</c:v>
                </c:pt>
                <c:pt idx="69">
                  <c:v>40</c:v>
                </c:pt>
                <c:pt idx="70">
                  <c:v>33</c:v>
                </c:pt>
                <c:pt idx="71">
                  <c:v>54</c:v>
                </c:pt>
                <c:pt idx="72">
                  <c:v>49</c:v>
                </c:pt>
                <c:pt idx="73">
                  <c:v>28</c:v>
                </c:pt>
                <c:pt idx="74">
                  <c:v>24</c:v>
                </c:pt>
                <c:pt idx="75">
                  <c:v>32</c:v>
                </c:pt>
                <c:pt idx="76">
                  <c:v>32</c:v>
                </c:pt>
                <c:pt idx="77">
                  <c:v>55</c:v>
                </c:pt>
                <c:pt idx="78">
                  <c:v>55</c:v>
                </c:pt>
                <c:pt idx="79">
                  <c:v>52</c:v>
                </c:pt>
                <c:pt idx="80">
                  <c:v>37</c:v>
                </c:pt>
                <c:pt idx="81">
                  <c:v>45</c:v>
                </c:pt>
                <c:pt idx="82">
                  <c:v>40</c:v>
                </c:pt>
                <c:pt idx="83">
                  <c:v>30</c:v>
                </c:pt>
                <c:pt idx="84">
                  <c:v>45</c:v>
                </c:pt>
                <c:pt idx="85">
                  <c:v>27</c:v>
                </c:pt>
                <c:pt idx="86">
                  <c:v>25</c:v>
                </c:pt>
                <c:pt idx="87">
                  <c:v>39</c:v>
                </c:pt>
                <c:pt idx="88">
                  <c:v>33</c:v>
                </c:pt>
                <c:pt idx="89">
                  <c:v>50</c:v>
                </c:pt>
                <c:pt idx="90">
                  <c:v>42</c:v>
                </c:pt>
                <c:pt idx="91">
                  <c:v>37</c:v>
                </c:pt>
                <c:pt idx="92">
                  <c:v>28</c:v>
                </c:pt>
                <c:pt idx="93">
                  <c:v>24</c:v>
                </c:pt>
                <c:pt idx="94">
                  <c:v>33</c:v>
                </c:pt>
                <c:pt idx="95">
                  <c:v>44</c:v>
                </c:pt>
                <c:pt idx="96">
                  <c:v>38</c:v>
                </c:pt>
                <c:pt idx="97">
                  <c:v>40</c:v>
                </c:pt>
                <c:pt idx="98">
                  <c:v>30</c:v>
                </c:pt>
                <c:pt idx="99">
                  <c:v>30</c:v>
                </c:pt>
                <c:pt idx="100">
                  <c:v>77</c:v>
                </c:pt>
                <c:pt idx="101">
                  <c:v>50</c:v>
                </c:pt>
                <c:pt idx="102">
                  <c:v>30</c:v>
                </c:pt>
                <c:pt idx="103">
                  <c:v>27</c:v>
                </c:pt>
                <c:pt idx="104">
                  <c:v>52</c:v>
                </c:pt>
                <c:pt idx="105">
                  <c:v>43</c:v>
                </c:pt>
                <c:pt idx="106">
                  <c:v>59</c:v>
                </c:pt>
                <c:pt idx="107">
                  <c:v>39</c:v>
                </c:pt>
                <c:pt idx="108">
                  <c:v>41</c:v>
                </c:pt>
                <c:pt idx="109">
                  <c:v>31</c:v>
                </c:pt>
                <c:pt idx="110">
                  <c:v>25</c:v>
                </c:pt>
                <c:pt idx="111">
                  <c:v>51</c:v>
                </c:pt>
                <c:pt idx="112">
                  <c:v>55</c:v>
                </c:pt>
                <c:pt idx="113">
                  <c:v>64</c:v>
                </c:pt>
                <c:pt idx="114">
                  <c:v>48</c:v>
                </c:pt>
                <c:pt idx="115">
                  <c:v>44</c:v>
                </c:pt>
                <c:pt idx="116">
                  <c:v>67</c:v>
                </c:pt>
                <c:pt idx="117">
                  <c:v>43</c:v>
                </c:pt>
                <c:pt idx="118">
                  <c:v>35</c:v>
                </c:pt>
                <c:pt idx="119">
                  <c:v>29</c:v>
                </c:pt>
                <c:pt idx="120">
                  <c:v>26</c:v>
                </c:pt>
                <c:pt idx="121">
                  <c:v>30</c:v>
                </c:pt>
                <c:pt idx="122">
                  <c:v>52</c:v>
                </c:pt>
                <c:pt idx="123">
                  <c:v>27</c:v>
                </c:pt>
                <c:pt idx="124">
                  <c:v>43</c:v>
                </c:pt>
                <c:pt idx="125">
                  <c:v>47</c:v>
                </c:pt>
                <c:pt idx="126">
                  <c:v>26</c:v>
                </c:pt>
                <c:pt idx="127">
                  <c:v>40</c:v>
                </c:pt>
                <c:pt idx="128">
                  <c:v>23</c:v>
                </c:pt>
                <c:pt idx="129">
                  <c:v>22</c:v>
                </c:pt>
                <c:pt idx="130">
                  <c:v>36</c:v>
                </c:pt>
                <c:pt idx="131">
                  <c:v>38</c:v>
                </c:pt>
                <c:pt idx="132">
                  <c:v>37</c:v>
                </c:pt>
                <c:pt idx="133">
                  <c:v>44</c:v>
                </c:pt>
                <c:pt idx="134">
                  <c:v>31</c:v>
                </c:pt>
                <c:pt idx="135">
                  <c:v>64</c:v>
                </c:pt>
                <c:pt idx="136">
                  <c:v>40</c:v>
                </c:pt>
                <c:pt idx="137">
                  <c:v>35</c:v>
                </c:pt>
                <c:pt idx="138">
                  <c:v>58</c:v>
                </c:pt>
                <c:pt idx="139">
                  <c:v>35</c:v>
                </c:pt>
                <c:pt idx="140">
                  <c:v>54</c:v>
                </c:pt>
                <c:pt idx="141">
                  <c:v>20</c:v>
                </c:pt>
                <c:pt idx="142">
                  <c:v>35</c:v>
                </c:pt>
                <c:pt idx="143">
                  <c:v>45</c:v>
                </c:pt>
                <c:pt idx="144">
                  <c:v>33</c:v>
                </c:pt>
                <c:pt idx="145">
                  <c:v>42</c:v>
                </c:pt>
                <c:pt idx="146">
                  <c:v>56</c:v>
                </c:pt>
                <c:pt idx="147">
                  <c:v>53</c:v>
                </c:pt>
                <c:pt idx="148">
                  <c:v>47</c:v>
                </c:pt>
                <c:pt idx="149">
                  <c:v>46</c:v>
                </c:pt>
                <c:pt idx="150">
                  <c:v>47</c:v>
                </c:pt>
                <c:pt idx="151">
                  <c:v>32</c:v>
                </c:pt>
                <c:pt idx="152">
                  <c:v>22</c:v>
                </c:pt>
                <c:pt idx="153">
                  <c:v>34</c:v>
                </c:pt>
                <c:pt idx="154">
                  <c:v>41</c:v>
                </c:pt>
                <c:pt idx="155">
                  <c:v>57</c:v>
                </c:pt>
                <c:pt idx="156">
                  <c:v>37</c:v>
                </c:pt>
                <c:pt idx="157">
                  <c:v>45</c:v>
                </c:pt>
                <c:pt idx="158">
                  <c:v>42</c:v>
                </c:pt>
                <c:pt idx="159">
                  <c:v>53</c:v>
                </c:pt>
                <c:pt idx="160">
                  <c:v>27</c:v>
                </c:pt>
                <c:pt idx="161">
                  <c:v>38</c:v>
                </c:pt>
                <c:pt idx="162">
                  <c:v>30</c:v>
                </c:pt>
                <c:pt idx="163">
                  <c:v>43</c:v>
                </c:pt>
                <c:pt idx="164">
                  <c:v>53</c:v>
                </c:pt>
                <c:pt idx="165">
                  <c:v>46</c:v>
                </c:pt>
                <c:pt idx="166">
                  <c:v>17</c:v>
                </c:pt>
                <c:pt idx="167">
                  <c:v>46</c:v>
                </c:pt>
                <c:pt idx="168">
                  <c:v>24</c:v>
                </c:pt>
                <c:pt idx="169">
                  <c:v>35</c:v>
                </c:pt>
                <c:pt idx="170">
                  <c:v>35</c:v>
                </c:pt>
                <c:pt idx="171">
                  <c:v>46</c:v>
                </c:pt>
                <c:pt idx="172">
                  <c:v>60</c:v>
                </c:pt>
                <c:pt idx="173">
                  <c:v>28</c:v>
                </c:pt>
                <c:pt idx="174">
                  <c:v>30</c:v>
                </c:pt>
                <c:pt idx="175">
                  <c:v>41</c:v>
                </c:pt>
                <c:pt idx="176">
                  <c:v>52</c:v>
                </c:pt>
                <c:pt idx="177">
                  <c:v>30</c:v>
                </c:pt>
                <c:pt idx="178">
                  <c:v>33</c:v>
                </c:pt>
                <c:pt idx="179">
                  <c:v>33</c:v>
                </c:pt>
                <c:pt idx="180">
                  <c:v>21</c:v>
                </c:pt>
                <c:pt idx="181">
                  <c:v>33</c:v>
                </c:pt>
                <c:pt idx="182">
                  <c:v>34</c:v>
                </c:pt>
                <c:pt idx="183">
                  <c:v>12</c:v>
                </c:pt>
                <c:pt idx="184">
                  <c:v>59</c:v>
                </c:pt>
                <c:pt idx="185">
                  <c:v>47</c:v>
                </c:pt>
                <c:pt idx="186">
                  <c:v>61</c:v>
                </c:pt>
                <c:pt idx="187">
                  <c:v>41</c:v>
                </c:pt>
                <c:pt idx="188">
                  <c:v>46</c:v>
                </c:pt>
                <c:pt idx="189">
                  <c:v>54</c:v>
                </c:pt>
                <c:pt idx="190">
                  <c:v>32</c:v>
                </c:pt>
                <c:pt idx="191">
                  <c:v>45</c:v>
                </c:pt>
                <c:pt idx="192">
                  <c:v>8</c:v>
                </c:pt>
                <c:pt idx="193">
                  <c:v>37</c:v>
                </c:pt>
                <c:pt idx="194">
                  <c:v>29</c:v>
                </c:pt>
                <c:pt idx="195">
                  <c:v>36</c:v>
                </c:pt>
                <c:pt idx="196">
                  <c:v>34</c:v>
                </c:pt>
                <c:pt idx="197">
                  <c:v>30</c:v>
                </c:pt>
                <c:pt idx="198">
                  <c:v>39</c:v>
                </c:pt>
                <c:pt idx="199">
                  <c:v>34</c:v>
                </c:pt>
                <c:pt idx="200">
                  <c:v>32</c:v>
                </c:pt>
                <c:pt idx="201">
                  <c:v>47</c:v>
                </c:pt>
                <c:pt idx="202">
                  <c:v>50</c:v>
                </c:pt>
                <c:pt idx="203">
                  <c:v>46</c:v>
                </c:pt>
                <c:pt idx="204">
                  <c:v>45</c:v>
                </c:pt>
                <c:pt idx="205">
                  <c:v>63</c:v>
                </c:pt>
                <c:pt idx="206">
                  <c:v>35</c:v>
                </c:pt>
                <c:pt idx="207">
                  <c:v>32</c:v>
                </c:pt>
                <c:pt idx="208">
                  <c:v>48</c:v>
                </c:pt>
                <c:pt idx="209">
                  <c:v>32</c:v>
                </c:pt>
                <c:pt idx="210">
                  <c:v>68</c:v>
                </c:pt>
                <c:pt idx="211">
                  <c:v>37</c:v>
                </c:pt>
                <c:pt idx="212">
                  <c:v>50</c:v>
                </c:pt>
                <c:pt idx="213">
                  <c:v>41</c:v>
                </c:pt>
                <c:pt idx="214">
                  <c:v>29</c:v>
                </c:pt>
                <c:pt idx="215">
                  <c:v>29</c:v>
                </c:pt>
                <c:pt idx="216">
                  <c:v>49</c:v>
                </c:pt>
                <c:pt idx="217">
                  <c:v>15</c:v>
                </c:pt>
                <c:pt idx="218">
                  <c:v>50</c:v>
                </c:pt>
                <c:pt idx="219">
                  <c:v>46</c:v>
                </c:pt>
                <c:pt idx="220">
                  <c:v>45</c:v>
                </c:pt>
                <c:pt idx="221">
                  <c:v>33</c:v>
                </c:pt>
                <c:pt idx="222">
                  <c:v>48</c:v>
                </c:pt>
                <c:pt idx="223">
                  <c:v>41</c:v>
                </c:pt>
                <c:pt idx="224">
                  <c:v>35</c:v>
                </c:pt>
                <c:pt idx="225">
                  <c:v>27</c:v>
                </c:pt>
                <c:pt idx="226">
                  <c:v>27</c:v>
                </c:pt>
                <c:pt idx="227">
                  <c:v>40</c:v>
                </c:pt>
                <c:pt idx="228">
                  <c:v>49</c:v>
                </c:pt>
                <c:pt idx="229">
                  <c:v>1</c:v>
                </c:pt>
                <c:pt idx="230">
                  <c:v>47</c:v>
                </c:pt>
                <c:pt idx="231">
                  <c:v>45</c:v>
                </c:pt>
                <c:pt idx="232">
                  <c:v>46</c:v>
                </c:pt>
                <c:pt idx="233">
                  <c:v>55</c:v>
                </c:pt>
                <c:pt idx="234">
                  <c:v>55</c:v>
                </c:pt>
                <c:pt idx="235">
                  <c:v>16</c:v>
                </c:pt>
                <c:pt idx="236">
                  <c:v>51</c:v>
                </c:pt>
                <c:pt idx="237">
                  <c:v>15</c:v>
                </c:pt>
                <c:pt idx="238">
                  <c:v>22</c:v>
                </c:pt>
                <c:pt idx="239">
                  <c:v>47</c:v>
                </c:pt>
                <c:pt idx="240">
                  <c:v>39</c:v>
                </c:pt>
                <c:pt idx="241">
                  <c:v>35</c:v>
                </c:pt>
                <c:pt idx="242">
                  <c:v>48</c:v>
                </c:pt>
                <c:pt idx="243">
                  <c:v>33</c:v>
                </c:pt>
                <c:pt idx="244">
                  <c:v>42</c:v>
                </c:pt>
                <c:pt idx="245">
                  <c:v>35</c:v>
                </c:pt>
                <c:pt idx="246">
                  <c:v>37</c:v>
                </c:pt>
                <c:pt idx="247">
                  <c:v>57</c:v>
                </c:pt>
                <c:pt idx="248">
                  <c:v>26</c:v>
                </c:pt>
                <c:pt idx="249">
                  <c:v>52</c:v>
                </c:pt>
              </c:numCache>
            </c:numRef>
          </c:yVal>
          <c:smooth val="0"/>
          <c:extLst>
            <c:ext xmlns:c16="http://schemas.microsoft.com/office/drawing/2014/chart" uri="{C3380CC4-5D6E-409C-BE32-E72D297353CC}">
              <c16:uniqueId val="{00000000-A28B-4FAE-ADD2-D5E7C1783D58}"/>
            </c:ext>
          </c:extLst>
        </c:ser>
        <c:dLbls>
          <c:showLegendKey val="0"/>
          <c:showVal val="0"/>
          <c:showCatName val="0"/>
          <c:showSerName val="0"/>
          <c:showPercent val="0"/>
          <c:showBubbleSize val="0"/>
        </c:dLbls>
        <c:axId val="1668242048"/>
        <c:axId val="1668236288"/>
      </c:scatterChart>
      <c:valAx>
        <c:axId val="1668242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Census order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68236288"/>
        <c:crosses val="autoZero"/>
        <c:crossBetween val="midCat"/>
      </c:valAx>
      <c:valAx>
        <c:axId val="1668236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Age of individuals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6682420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12700</xdr:colOff>
      <xdr:row>1</xdr:row>
      <xdr:rowOff>146050</xdr:rowOff>
    </xdr:from>
    <xdr:to>
      <xdr:col>14</xdr:col>
      <xdr:colOff>374650</xdr:colOff>
      <xdr:row>17</xdr:row>
      <xdr:rowOff>127000</xdr:rowOff>
    </xdr:to>
    <xdr:sp macro="" textlink="">
      <xdr:nvSpPr>
        <xdr:cNvPr id="2" name="CasellaDiTesto 1">
          <a:extLst>
            <a:ext uri="{FF2B5EF4-FFF2-40B4-BE49-F238E27FC236}">
              <a16:creationId xmlns:a16="http://schemas.microsoft.com/office/drawing/2014/main" id="{BE6F405B-B26D-EC2A-AD90-44C528214895}"/>
            </a:ext>
          </a:extLst>
        </xdr:cNvPr>
        <xdr:cNvSpPr txBox="1"/>
      </xdr:nvSpPr>
      <xdr:spPr>
        <a:xfrm>
          <a:off x="7835900" y="387350"/>
          <a:ext cx="5238750" cy="293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it-IT"/>
            <a:t>L’analisi riguarda i 66 individui del Gruppo 2 della popolazione simulata di Luggnagg.</a:t>
          </a:r>
        </a:p>
        <a:p>
          <a:r>
            <a:rPr lang="it-IT"/>
            <a:t>La media campionaria è 42,97 anni e la deviazione standard campionaria è 10,25 anni.</a:t>
          </a:r>
        </a:p>
        <a:p>
          <a:r>
            <a:rPr lang="it-IT"/>
            <a:t>L’intervallo di confidenza al 95% per la media, calcolato con l’approssimazione normale e la deviazione standard dell’intera popolazione simulata, va da 40,16 a 45,78 anni. Il metodo non applica la correzione per popolazione finita. Il livello di confidenza descrive la copertura del metodo in campionamenti ripetuti, non la probabilità attribuita alla media dopo aver osservato questo intervallo.</a:t>
          </a:r>
        </a:p>
        <a:p>
          <a:r>
            <a:rPr lang="it-IT"/>
            <a:t>Il test Z bilaterale confronta la media del Gruppo 2 con la media dell’intera popolazione simulata. La statistica Z è circa 2,51 e il p-value è 0,0120.</a:t>
          </a:r>
        </a:p>
        <a:p>
          <a:r>
            <a:rPr lang="it-IT"/>
            <a:t>Poiché il p-value è inferiore a 0,05, si rifiuta l’ipotesi nulla di uguaglianza delle medie nell’approssimazione utilizzata. Il risultato segnala uno scostamento statisticamente significativo per questo campione; non dimostra una differenza causale o sistematica tra i gruppi, assegnati casualmente.</a:t>
          </a:r>
        </a:p>
        <a:p>
          <a:r>
            <a:rPr lang="it-IT"/>
            <a:t>L’analisi ha finalità didattiche e riguarda dati simulati.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603250</xdr:colOff>
      <xdr:row>1</xdr:row>
      <xdr:rowOff>0</xdr:rowOff>
    </xdr:from>
    <xdr:to>
      <xdr:col>15</xdr:col>
      <xdr:colOff>603250</xdr:colOff>
      <xdr:row>9</xdr:row>
      <xdr:rowOff>50800</xdr:rowOff>
    </xdr:to>
    <xdr:sp macro="" textlink="">
      <xdr:nvSpPr>
        <xdr:cNvPr id="2" name="CasellaDiTesto 1">
          <a:extLst>
            <a:ext uri="{FF2B5EF4-FFF2-40B4-BE49-F238E27FC236}">
              <a16:creationId xmlns:a16="http://schemas.microsoft.com/office/drawing/2014/main" id="{73C3CCA9-6F1C-1D82-2700-1F9A71490A31}"/>
            </a:ext>
          </a:extLst>
        </xdr:cNvPr>
        <xdr:cNvSpPr txBox="1"/>
      </xdr:nvSpPr>
      <xdr:spPr>
        <a:xfrm>
          <a:off x="8883650" y="730250"/>
          <a:ext cx="4267200" cy="153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a:t>Nel campione analizzato, la correlazione di Pearson tra età e ore medie di sonno è circa −0,0676; quella tra età e misura delle scarpe è circa 0,0083.</a:t>
          </a:r>
        </a:p>
        <a:p>
          <a:r>
            <a:rPr lang="it-IT"/>
            <a:t>Entrambi i coefficienti sono vicini a zero e indicano una relazione lineare molto debole nei dati osservati. Questi risultati non dimostrano l’indipendenza delle variabili e non escludono eventuali relazioni non lineari. Non è stato eseguito un test di significatività delle correlazioni.</a:t>
          </a:r>
        </a:p>
        <a:p>
          <a:r>
            <a:rPr lang="it-IT"/>
            <a:t>Le variabili sono simulate e i risultati hanno finalità didattiche.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0</xdr:row>
      <xdr:rowOff>114300</xdr:rowOff>
    </xdr:from>
    <xdr:to>
      <xdr:col>11</xdr:col>
      <xdr:colOff>920750</xdr:colOff>
      <xdr:row>22</xdr:row>
      <xdr:rowOff>25400</xdr:rowOff>
    </xdr:to>
    <xdr:graphicFrame macro="">
      <xdr:nvGraphicFramePr>
        <xdr:cNvPr id="4" name="Grafico 3">
          <a:extLst>
            <a:ext uri="{FF2B5EF4-FFF2-40B4-BE49-F238E27FC236}">
              <a16:creationId xmlns:a16="http://schemas.microsoft.com/office/drawing/2014/main" id="{17E580C8-F321-BCF5-D063-0C86A2ABC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3362-C9A1-46F6-8749-6BB1E66DDE88}">
  <dimension ref="A1:B4"/>
  <sheetViews>
    <sheetView showGridLines="0" workbookViewId="0">
      <selection activeCell="G3" sqref="G3"/>
    </sheetView>
  </sheetViews>
  <sheetFormatPr defaultRowHeight="14.5" x14ac:dyDescent="0.35"/>
  <cols>
    <col min="1" max="1" width="18.08984375" bestFit="1" customWidth="1"/>
  </cols>
  <sheetData>
    <row r="1" spans="1:2" ht="19" thickTop="1" thickBot="1" x14ac:dyDescent="0.4">
      <c r="A1" s="1" t="s">
        <v>4</v>
      </c>
      <c r="B1" s="1" t="s">
        <v>5</v>
      </c>
    </row>
    <row r="2" spans="1:2" ht="15" thickTop="1" x14ac:dyDescent="0.35">
      <c r="A2" s="2" t="s">
        <v>1</v>
      </c>
      <c r="B2" s="3" t="s">
        <v>6</v>
      </c>
    </row>
    <row r="3" spans="1:2" x14ac:dyDescent="0.35">
      <c r="A3" s="2" t="s">
        <v>2</v>
      </c>
      <c r="B3" s="3">
        <v>40</v>
      </c>
    </row>
    <row r="4" spans="1:2" x14ac:dyDescent="0.35">
      <c r="A4" s="2" t="s">
        <v>3</v>
      </c>
      <c r="B4" s="3">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617E8-A7BC-4196-A11D-6575CB61691C}">
  <dimension ref="A1:B251"/>
  <sheetViews>
    <sheetView showGridLines="0" topLeftCell="A220" workbookViewId="0">
      <selection activeCell="E10" sqref="E10"/>
    </sheetView>
  </sheetViews>
  <sheetFormatPr defaultRowHeight="14.5" x14ac:dyDescent="0.35"/>
  <cols>
    <col min="1" max="1" width="19.90625" bestFit="1" customWidth="1"/>
    <col min="2" max="2" width="13.7265625" bestFit="1" customWidth="1"/>
    <col min="5" max="5" width="29.6328125" bestFit="1" customWidth="1"/>
  </cols>
  <sheetData>
    <row r="1" spans="1:2" ht="19" thickTop="1" thickBot="1" x14ac:dyDescent="0.4">
      <c r="A1" s="1" t="s">
        <v>7</v>
      </c>
      <c r="B1" s="1" t="s">
        <v>8</v>
      </c>
    </row>
    <row r="2" spans="1:2" ht="15" thickTop="1" x14ac:dyDescent="0.35">
      <c r="A2" s="2">
        <v>38</v>
      </c>
      <c r="B2" s="2">
        <v>3</v>
      </c>
    </row>
    <row r="3" spans="1:2" x14ac:dyDescent="0.35">
      <c r="A3" s="2">
        <v>38</v>
      </c>
      <c r="B3" s="2">
        <v>4</v>
      </c>
    </row>
    <row r="4" spans="1:2" x14ac:dyDescent="0.35">
      <c r="A4" s="2">
        <v>36</v>
      </c>
      <c r="B4" s="2">
        <v>2</v>
      </c>
    </row>
    <row r="5" spans="1:2" x14ac:dyDescent="0.35">
      <c r="A5" s="2">
        <v>50</v>
      </c>
      <c r="B5" s="2">
        <v>4</v>
      </c>
    </row>
    <row r="6" spans="1:2" x14ac:dyDescent="0.35">
      <c r="A6" s="2">
        <v>53</v>
      </c>
      <c r="B6" s="2">
        <v>1</v>
      </c>
    </row>
    <row r="7" spans="1:2" x14ac:dyDescent="0.35">
      <c r="A7" s="2">
        <v>58</v>
      </c>
      <c r="B7" s="2">
        <v>1</v>
      </c>
    </row>
    <row r="8" spans="1:2" x14ac:dyDescent="0.35">
      <c r="A8" s="2">
        <v>44</v>
      </c>
      <c r="B8" s="2">
        <v>2</v>
      </c>
    </row>
    <row r="9" spans="1:2" x14ac:dyDescent="0.35">
      <c r="A9" s="2">
        <v>32</v>
      </c>
      <c r="B9" s="2">
        <v>2</v>
      </c>
    </row>
    <row r="10" spans="1:2" x14ac:dyDescent="0.35">
      <c r="A10" s="2">
        <v>53</v>
      </c>
      <c r="B10" s="2">
        <v>1</v>
      </c>
    </row>
    <row r="11" spans="1:2" x14ac:dyDescent="0.35">
      <c r="A11" s="2">
        <v>45</v>
      </c>
      <c r="B11" s="2">
        <v>3</v>
      </c>
    </row>
    <row r="12" spans="1:2" x14ac:dyDescent="0.35">
      <c r="A12" s="2">
        <v>20</v>
      </c>
      <c r="B12" s="2">
        <v>3</v>
      </c>
    </row>
    <row r="13" spans="1:2" x14ac:dyDescent="0.35">
      <c r="A13" s="2">
        <v>47</v>
      </c>
      <c r="B13" s="2">
        <v>3</v>
      </c>
    </row>
    <row r="14" spans="1:2" x14ac:dyDescent="0.35">
      <c r="A14" s="2">
        <v>44</v>
      </c>
      <c r="B14" s="2">
        <v>4</v>
      </c>
    </row>
    <row r="15" spans="1:2" x14ac:dyDescent="0.35">
      <c r="A15" s="2">
        <v>40</v>
      </c>
      <c r="B15" s="2">
        <v>2</v>
      </c>
    </row>
    <row r="16" spans="1:2" x14ac:dyDescent="0.35">
      <c r="A16" s="2">
        <v>45</v>
      </c>
      <c r="B16" s="2">
        <v>3</v>
      </c>
    </row>
    <row r="17" spans="1:2" x14ac:dyDescent="0.35">
      <c r="A17" s="2">
        <v>34</v>
      </c>
      <c r="B17" s="2">
        <v>4</v>
      </c>
    </row>
    <row r="18" spans="1:2" x14ac:dyDescent="0.35">
      <c r="A18" s="2">
        <v>58</v>
      </c>
      <c r="B18" s="2">
        <v>1</v>
      </c>
    </row>
    <row r="19" spans="1:2" x14ac:dyDescent="0.35">
      <c r="A19" s="2">
        <v>37</v>
      </c>
      <c r="B19" s="2">
        <v>3</v>
      </c>
    </row>
    <row r="20" spans="1:2" x14ac:dyDescent="0.35">
      <c r="A20" s="2">
        <v>54</v>
      </c>
      <c r="B20" s="2">
        <v>2</v>
      </c>
    </row>
    <row r="21" spans="1:2" x14ac:dyDescent="0.35">
      <c r="A21" s="2">
        <v>34</v>
      </c>
      <c r="B21" s="2">
        <v>2</v>
      </c>
    </row>
    <row r="22" spans="1:2" x14ac:dyDescent="0.35">
      <c r="A22" s="2">
        <v>41</v>
      </c>
      <c r="B22" s="2">
        <v>2</v>
      </c>
    </row>
    <row r="23" spans="1:2" x14ac:dyDescent="0.35">
      <c r="A23" s="2">
        <v>11</v>
      </c>
      <c r="B23" s="2">
        <v>3</v>
      </c>
    </row>
    <row r="24" spans="1:2" x14ac:dyDescent="0.35">
      <c r="A24" s="2">
        <v>64</v>
      </c>
      <c r="B24" s="2">
        <v>4</v>
      </c>
    </row>
    <row r="25" spans="1:2" x14ac:dyDescent="0.35">
      <c r="A25" s="2">
        <v>30</v>
      </c>
      <c r="B25" s="2">
        <v>4</v>
      </c>
    </row>
    <row r="26" spans="1:2" x14ac:dyDescent="0.35">
      <c r="A26" s="2">
        <v>50</v>
      </c>
      <c r="B26" s="2">
        <v>1</v>
      </c>
    </row>
    <row r="27" spans="1:2" x14ac:dyDescent="0.35">
      <c r="A27" s="2">
        <v>21</v>
      </c>
      <c r="B27" s="2">
        <v>1</v>
      </c>
    </row>
    <row r="28" spans="1:2" x14ac:dyDescent="0.35">
      <c r="A28" s="2">
        <v>35</v>
      </c>
      <c r="B28" s="2">
        <v>3</v>
      </c>
    </row>
    <row r="29" spans="1:2" x14ac:dyDescent="0.35">
      <c r="A29" s="2">
        <v>36</v>
      </c>
      <c r="B29" s="2">
        <v>4</v>
      </c>
    </row>
    <row r="30" spans="1:2" x14ac:dyDescent="0.35">
      <c r="A30" s="2">
        <v>20</v>
      </c>
      <c r="B30" s="2">
        <v>4</v>
      </c>
    </row>
    <row r="31" spans="1:2" x14ac:dyDescent="0.35">
      <c r="A31" s="2">
        <v>47</v>
      </c>
      <c r="B31" s="2">
        <v>4</v>
      </c>
    </row>
    <row r="32" spans="1:2" x14ac:dyDescent="0.35">
      <c r="A32" s="2">
        <v>42</v>
      </c>
      <c r="B32" s="2">
        <v>4</v>
      </c>
    </row>
    <row r="33" spans="1:2" x14ac:dyDescent="0.35">
      <c r="A33" s="2">
        <v>42</v>
      </c>
      <c r="B33" s="2">
        <v>4</v>
      </c>
    </row>
    <row r="34" spans="1:2" x14ac:dyDescent="0.35">
      <c r="A34" s="2">
        <v>42</v>
      </c>
      <c r="B34" s="2">
        <v>2</v>
      </c>
    </row>
    <row r="35" spans="1:2" x14ac:dyDescent="0.35">
      <c r="A35" s="2">
        <v>32</v>
      </c>
      <c r="B35" s="2">
        <v>1</v>
      </c>
    </row>
    <row r="36" spans="1:2" x14ac:dyDescent="0.35">
      <c r="A36" s="2">
        <v>48</v>
      </c>
      <c r="B36" s="2">
        <v>2</v>
      </c>
    </row>
    <row r="37" spans="1:2" x14ac:dyDescent="0.35">
      <c r="A37" s="2">
        <v>47</v>
      </c>
      <c r="B37" s="2">
        <v>3</v>
      </c>
    </row>
    <row r="38" spans="1:2" x14ac:dyDescent="0.35">
      <c r="A38" s="2">
        <v>35</v>
      </c>
      <c r="B38" s="2">
        <v>3</v>
      </c>
    </row>
    <row r="39" spans="1:2" x14ac:dyDescent="0.35">
      <c r="A39" s="2">
        <v>27</v>
      </c>
      <c r="B39" s="2">
        <v>2</v>
      </c>
    </row>
    <row r="40" spans="1:2" x14ac:dyDescent="0.35">
      <c r="A40" s="2">
        <v>42</v>
      </c>
      <c r="B40" s="2">
        <v>3</v>
      </c>
    </row>
    <row r="41" spans="1:2" x14ac:dyDescent="0.35">
      <c r="A41" s="2">
        <v>37</v>
      </c>
      <c r="B41" s="2">
        <v>2</v>
      </c>
    </row>
    <row r="42" spans="1:2" x14ac:dyDescent="0.35">
      <c r="A42" s="2">
        <v>49</v>
      </c>
      <c r="B42" s="2">
        <v>1</v>
      </c>
    </row>
    <row r="43" spans="1:2" x14ac:dyDescent="0.35">
      <c r="A43" s="2">
        <v>37</v>
      </c>
      <c r="B43" s="2">
        <v>1</v>
      </c>
    </row>
    <row r="44" spans="1:2" x14ac:dyDescent="0.35">
      <c r="A44" s="2">
        <v>47</v>
      </c>
      <c r="B44" s="2">
        <v>2</v>
      </c>
    </row>
    <row r="45" spans="1:2" x14ac:dyDescent="0.35">
      <c r="A45" s="2">
        <v>26</v>
      </c>
      <c r="B45" s="2">
        <v>1</v>
      </c>
    </row>
    <row r="46" spans="1:2" x14ac:dyDescent="0.35">
      <c r="A46" s="2">
        <v>41</v>
      </c>
      <c r="B46" s="2">
        <v>2</v>
      </c>
    </row>
    <row r="47" spans="1:2" x14ac:dyDescent="0.35">
      <c r="A47" s="2">
        <v>47</v>
      </c>
      <c r="B47" s="2">
        <v>1</v>
      </c>
    </row>
    <row r="48" spans="1:2" x14ac:dyDescent="0.35">
      <c r="A48" s="2">
        <v>44</v>
      </c>
      <c r="B48" s="2">
        <v>3</v>
      </c>
    </row>
    <row r="49" spans="1:2" x14ac:dyDescent="0.35">
      <c r="A49" s="2">
        <v>49</v>
      </c>
      <c r="B49" s="2">
        <v>2</v>
      </c>
    </row>
    <row r="50" spans="1:2" x14ac:dyDescent="0.35">
      <c r="A50" s="2">
        <v>38</v>
      </c>
      <c r="B50" s="2">
        <v>4</v>
      </c>
    </row>
    <row r="51" spans="1:2" x14ac:dyDescent="0.35">
      <c r="A51" s="2">
        <v>33</v>
      </c>
      <c r="B51" s="2">
        <v>3</v>
      </c>
    </row>
    <row r="52" spans="1:2" x14ac:dyDescent="0.35">
      <c r="A52" s="2">
        <v>47</v>
      </c>
      <c r="B52" s="2">
        <v>4</v>
      </c>
    </row>
    <row r="53" spans="1:2" x14ac:dyDescent="0.35">
      <c r="A53" s="2">
        <v>35</v>
      </c>
      <c r="B53" s="2">
        <v>1</v>
      </c>
    </row>
    <row r="54" spans="1:2" x14ac:dyDescent="0.35">
      <c r="A54" s="2">
        <v>47</v>
      </c>
      <c r="B54" s="2">
        <v>4</v>
      </c>
    </row>
    <row r="55" spans="1:2" x14ac:dyDescent="0.35">
      <c r="A55" s="2">
        <v>21</v>
      </c>
      <c r="B55" s="2">
        <v>4</v>
      </c>
    </row>
    <row r="56" spans="1:2" x14ac:dyDescent="0.35">
      <c r="A56" s="2">
        <v>40</v>
      </c>
      <c r="B56" s="2">
        <v>3</v>
      </c>
    </row>
    <row r="57" spans="1:2" x14ac:dyDescent="0.35">
      <c r="A57" s="2">
        <v>46</v>
      </c>
      <c r="B57" s="2">
        <v>2</v>
      </c>
    </row>
    <row r="58" spans="1:2" x14ac:dyDescent="0.35">
      <c r="A58" s="2">
        <v>45</v>
      </c>
      <c r="B58" s="2">
        <v>1</v>
      </c>
    </row>
    <row r="59" spans="1:2" x14ac:dyDescent="0.35">
      <c r="A59" s="2">
        <v>44</v>
      </c>
      <c r="B59" s="2">
        <v>4</v>
      </c>
    </row>
    <row r="60" spans="1:2" x14ac:dyDescent="0.35">
      <c r="A60" s="2">
        <v>33</v>
      </c>
      <c r="B60" s="2">
        <v>1</v>
      </c>
    </row>
    <row r="61" spans="1:2" x14ac:dyDescent="0.35">
      <c r="A61" s="2">
        <v>42</v>
      </c>
      <c r="B61" s="2">
        <v>2</v>
      </c>
    </row>
    <row r="62" spans="1:2" x14ac:dyDescent="0.35">
      <c r="A62" s="2">
        <v>36</v>
      </c>
      <c r="B62" s="2">
        <v>2</v>
      </c>
    </row>
    <row r="63" spans="1:2" x14ac:dyDescent="0.35">
      <c r="A63" s="2">
        <v>14</v>
      </c>
      <c r="B63" s="2">
        <v>3</v>
      </c>
    </row>
    <row r="64" spans="1:2" x14ac:dyDescent="0.35">
      <c r="A64" s="2">
        <v>36</v>
      </c>
      <c r="B64" s="2">
        <v>2</v>
      </c>
    </row>
    <row r="65" spans="1:2" x14ac:dyDescent="0.35">
      <c r="A65" s="2">
        <v>45</v>
      </c>
      <c r="B65" s="2">
        <v>3</v>
      </c>
    </row>
    <row r="66" spans="1:2" x14ac:dyDescent="0.35">
      <c r="A66" s="2">
        <v>37</v>
      </c>
      <c r="B66" s="2">
        <v>3</v>
      </c>
    </row>
    <row r="67" spans="1:2" x14ac:dyDescent="0.35">
      <c r="A67" s="2">
        <v>17</v>
      </c>
      <c r="B67" s="2">
        <v>4</v>
      </c>
    </row>
    <row r="68" spans="1:2" x14ac:dyDescent="0.35">
      <c r="A68" s="2">
        <v>28</v>
      </c>
      <c r="B68" s="2">
        <v>4</v>
      </c>
    </row>
    <row r="69" spans="1:2" x14ac:dyDescent="0.35">
      <c r="A69" s="2">
        <v>37</v>
      </c>
      <c r="B69" s="2">
        <v>4</v>
      </c>
    </row>
    <row r="70" spans="1:2" x14ac:dyDescent="0.35">
      <c r="A70" s="2">
        <v>25</v>
      </c>
      <c r="B70" s="2">
        <v>3</v>
      </c>
    </row>
    <row r="71" spans="1:2" x14ac:dyDescent="0.35">
      <c r="A71" s="2">
        <v>40</v>
      </c>
      <c r="B71" s="2">
        <v>2</v>
      </c>
    </row>
    <row r="72" spans="1:2" x14ac:dyDescent="0.35">
      <c r="A72" s="2">
        <v>33</v>
      </c>
      <c r="B72" s="2">
        <v>4</v>
      </c>
    </row>
    <row r="73" spans="1:2" x14ac:dyDescent="0.35">
      <c r="A73" s="2">
        <v>54</v>
      </c>
      <c r="B73" s="2">
        <v>1</v>
      </c>
    </row>
    <row r="74" spans="1:2" x14ac:dyDescent="0.35">
      <c r="A74" s="2">
        <v>49</v>
      </c>
      <c r="B74" s="2">
        <v>2</v>
      </c>
    </row>
    <row r="75" spans="1:2" x14ac:dyDescent="0.35">
      <c r="A75" s="2">
        <v>28</v>
      </c>
      <c r="B75" s="2">
        <v>4</v>
      </c>
    </row>
    <row r="76" spans="1:2" x14ac:dyDescent="0.35">
      <c r="A76" s="2">
        <v>24</v>
      </c>
      <c r="B76" s="2">
        <v>4</v>
      </c>
    </row>
    <row r="77" spans="1:2" x14ac:dyDescent="0.35">
      <c r="A77" s="2">
        <v>32</v>
      </c>
      <c r="B77" s="2">
        <v>3</v>
      </c>
    </row>
    <row r="78" spans="1:2" x14ac:dyDescent="0.35">
      <c r="A78" s="2">
        <v>32</v>
      </c>
      <c r="B78" s="2">
        <v>4</v>
      </c>
    </row>
    <row r="79" spans="1:2" x14ac:dyDescent="0.35">
      <c r="A79" s="2">
        <v>55</v>
      </c>
      <c r="B79" s="2">
        <v>2</v>
      </c>
    </row>
    <row r="80" spans="1:2" x14ac:dyDescent="0.35">
      <c r="A80" s="2">
        <v>55</v>
      </c>
      <c r="B80" s="2">
        <v>2</v>
      </c>
    </row>
    <row r="81" spans="1:2" x14ac:dyDescent="0.35">
      <c r="A81" s="2">
        <v>52</v>
      </c>
      <c r="B81" s="2">
        <v>3</v>
      </c>
    </row>
    <row r="82" spans="1:2" x14ac:dyDescent="0.35">
      <c r="A82" s="2">
        <v>37</v>
      </c>
      <c r="B82" s="2">
        <v>4</v>
      </c>
    </row>
    <row r="83" spans="1:2" x14ac:dyDescent="0.35">
      <c r="A83" s="2">
        <v>45</v>
      </c>
      <c r="B83" s="2">
        <v>2</v>
      </c>
    </row>
    <row r="84" spans="1:2" x14ac:dyDescent="0.35">
      <c r="A84" s="2">
        <v>40</v>
      </c>
      <c r="B84" s="2">
        <v>1</v>
      </c>
    </row>
    <row r="85" spans="1:2" x14ac:dyDescent="0.35">
      <c r="A85" s="2">
        <v>30</v>
      </c>
      <c r="B85" s="2">
        <v>1</v>
      </c>
    </row>
    <row r="86" spans="1:2" x14ac:dyDescent="0.35">
      <c r="A86" s="2">
        <v>45</v>
      </c>
      <c r="B86" s="2">
        <v>2</v>
      </c>
    </row>
    <row r="87" spans="1:2" x14ac:dyDescent="0.35">
      <c r="A87" s="2">
        <v>27</v>
      </c>
      <c r="B87" s="2">
        <v>3</v>
      </c>
    </row>
    <row r="88" spans="1:2" x14ac:dyDescent="0.35">
      <c r="A88" s="2">
        <v>25</v>
      </c>
      <c r="B88" s="2">
        <v>2</v>
      </c>
    </row>
    <row r="89" spans="1:2" x14ac:dyDescent="0.35">
      <c r="A89" s="2">
        <v>39</v>
      </c>
      <c r="B89" s="2">
        <v>3</v>
      </c>
    </row>
    <row r="90" spans="1:2" x14ac:dyDescent="0.35">
      <c r="A90" s="2">
        <v>33</v>
      </c>
      <c r="B90" s="2">
        <v>3</v>
      </c>
    </row>
    <row r="91" spans="1:2" x14ac:dyDescent="0.35">
      <c r="A91" s="2">
        <v>50</v>
      </c>
      <c r="B91" s="2">
        <v>4</v>
      </c>
    </row>
    <row r="92" spans="1:2" x14ac:dyDescent="0.35">
      <c r="A92" s="2">
        <v>42</v>
      </c>
      <c r="B92" s="2">
        <v>3</v>
      </c>
    </row>
    <row r="93" spans="1:2" x14ac:dyDescent="0.35">
      <c r="A93" s="2">
        <v>37</v>
      </c>
      <c r="B93" s="2">
        <v>2</v>
      </c>
    </row>
    <row r="94" spans="1:2" x14ac:dyDescent="0.35">
      <c r="A94" s="2">
        <v>28</v>
      </c>
      <c r="B94" s="2">
        <v>4</v>
      </c>
    </row>
    <row r="95" spans="1:2" x14ac:dyDescent="0.35">
      <c r="A95" s="2">
        <v>24</v>
      </c>
      <c r="B95" s="2">
        <v>4</v>
      </c>
    </row>
    <row r="96" spans="1:2" x14ac:dyDescent="0.35">
      <c r="A96" s="2">
        <v>33</v>
      </c>
      <c r="B96" s="2">
        <v>4</v>
      </c>
    </row>
    <row r="97" spans="1:2" x14ac:dyDescent="0.35">
      <c r="A97" s="2">
        <v>44</v>
      </c>
      <c r="B97" s="2">
        <v>3</v>
      </c>
    </row>
    <row r="98" spans="1:2" x14ac:dyDescent="0.35">
      <c r="A98" s="2">
        <v>38</v>
      </c>
      <c r="B98" s="2">
        <v>3</v>
      </c>
    </row>
    <row r="99" spans="1:2" x14ac:dyDescent="0.35">
      <c r="A99" s="2">
        <v>40</v>
      </c>
      <c r="B99" s="2">
        <v>1</v>
      </c>
    </row>
    <row r="100" spans="1:2" x14ac:dyDescent="0.35">
      <c r="A100" s="2">
        <v>30</v>
      </c>
      <c r="B100" s="2">
        <v>1</v>
      </c>
    </row>
    <row r="101" spans="1:2" x14ac:dyDescent="0.35">
      <c r="A101" s="2">
        <v>30</v>
      </c>
      <c r="B101" s="2">
        <v>1</v>
      </c>
    </row>
    <row r="102" spans="1:2" x14ac:dyDescent="0.35">
      <c r="A102" s="2">
        <v>77</v>
      </c>
      <c r="B102" s="2">
        <v>1</v>
      </c>
    </row>
    <row r="103" spans="1:2" x14ac:dyDescent="0.35">
      <c r="A103" s="2">
        <v>50</v>
      </c>
      <c r="B103" s="2">
        <v>2</v>
      </c>
    </row>
    <row r="104" spans="1:2" x14ac:dyDescent="0.35">
      <c r="A104" s="2">
        <v>30</v>
      </c>
      <c r="B104" s="2">
        <v>2</v>
      </c>
    </row>
    <row r="105" spans="1:2" x14ac:dyDescent="0.35">
      <c r="A105" s="2">
        <v>27</v>
      </c>
      <c r="B105" s="2">
        <v>1</v>
      </c>
    </row>
    <row r="106" spans="1:2" x14ac:dyDescent="0.35">
      <c r="A106" s="2">
        <v>52</v>
      </c>
      <c r="B106" s="2">
        <v>2</v>
      </c>
    </row>
    <row r="107" spans="1:2" x14ac:dyDescent="0.35">
      <c r="A107" s="2">
        <v>43</v>
      </c>
      <c r="B107" s="2">
        <v>2</v>
      </c>
    </row>
    <row r="108" spans="1:2" x14ac:dyDescent="0.35">
      <c r="A108" s="2">
        <v>59</v>
      </c>
      <c r="B108" s="2">
        <v>2</v>
      </c>
    </row>
    <row r="109" spans="1:2" x14ac:dyDescent="0.35">
      <c r="A109" s="2">
        <v>39</v>
      </c>
      <c r="B109" s="2">
        <v>2</v>
      </c>
    </row>
    <row r="110" spans="1:2" x14ac:dyDescent="0.35">
      <c r="A110" s="2">
        <v>41</v>
      </c>
      <c r="B110" s="2">
        <v>1</v>
      </c>
    </row>
    <row r="111" spans="1:2" x14ac:dyDescent="0.35">
      <c r="A111" s="2">
        <v>31</v>
      </c>
      <c r="B111" s="2">
        <v>4</v>
      </c>
    </row>
    <row r="112" spans="1:2" x14ac:dyDescent="0.35">
      <c r="A112" s="2">
        <v>25</v>
      </c>
      <c r="B112" s="2">
        <v>2</v>
      </c>
    </row>
    <row r="113" spans="1:2" x14ac:dyDescent="0.35">
      <c r="A113" s="2">
        <v>51</v>
      </c>
      <c r="B113" s="2">
        <v>1</v>
      </c>
    </row>
    <row r="114" spans="1:2" x14ac:dyDescent="0.35">
      <c r="A114" s="2">
        <v>55</v>
      </c>
      <c r="B114" s="2">
        <v>2</v>
      </c>
    </row>
    <row r="115" spans="1:2" x14ac:dyDescent="0.35">
      <c r="A115" s="2">
        <v>64</v>
      </c>
      <c r="B115" s="2">
        <v>4</v>
      </c>
    </row>
    <row r="116" spans="1:2" x14ac:dyDescent="0.35">
      <c r="A116" s="2">
        <v>48</v>
      </c>
      <c r="B116" s="2">
        <v>3</v>
      </c>
    </row>
    <row r="117" spans="1:2" x14ac:dyDescent="0.35">
      <c r="A117" s="2">
        <v>44</v>
      </c>
      <c r="B117" s="2">
        <v>3</v>
      </c>
    </row>
    <row r="118" spans="1:2" x14ac:dyDescent="0.35">
      <c r="A118" s="2">
        <v>67</v>
      </c>
      <c r="B118" s="2">
        <v>3</v>
      </c>
    </row>
    <row r="119" spans="1:2" x14ac:dyDescent="0.35">
      <c r="A119" s="2">
        <v>43</v>
      </c>
      <c r="B119" s="2">
        <v>1</v>
      </c>
    </row>
    <row r="120" spans="1:2" x14ac:dyDescent="0.35">
      <c r="A120" s="2">
        <v>35</v>
      </c>
      <c r="B120" s="2">
        <v>4</v>
      </c>
    </row>
    <row r="121" spans="1:2" x14ac:dyDescent="0.35">
      <c r="A121" s="2">
        <v>29</v>
      </c>
      <c r="B121" s="2">
        <v>1</v>
      </c>
    </row>
    <row r="122" spans="1:2" x14ac:dyDescent="0.35">
      <c r="A122" s="2">
        <v>26</v>
      </c>
      <c r="B122" s="2">
        <v>3</v>
      </c>
    </row>
    <row r="123" spans="1:2" x14ac:dyDescent="0.35">
      <c r="A123" s="2">
        <v>30</v>
      </c>
      <c r="B123" s="2">
        <v>3</v>
      </c>
    </row>
    <row r="124" spans="1:2" x14ac:dyDescent="0.35">
      <c r="A124" s="2">
        <v>52</v>
      </c>
      <c r="B124" s="2">
        <v>3</v>
      </c>
    </row>
    <row r="125" spans="1:2" x14ac:dyDescent="0.35">
      <c r="A125" s="2">
        <v>27</v>
      </c>
      <c r="B125" s="2">
        <v>2</v>
      </c>
    </row>
    <row r="126" spans="1:2" x14ac:dyDescent="0.35">
      <c r="A126" s="2">
        <v>43</v>
      </c>
      <c r="B126" s="2">
        <v>2</v>
      </c>
    </row>
    <row r="127" spans="1:2" x14ac:dyDescent="0.35">
      <c r="A127" s="2">
        <v>47</v>
      </c>
      <c r="B127" s="2">
        <v>2</v>
      </c>
    </row>
    <row r="128" spans="1:2" x14ac:dyDescent="0.35">
      <c r="A128" s="2">
        <v>26</v>
      </c>
      <c r="B128" s="2">
        <v>3</v>
      </c>
    </row>
    <row r="129" spans="1:2" x14ac:dyDescent="0.35">
      <c r="A129" s="2">
        <v>40</v>
      </c>
      <c r="B129" s="2">
        <v>4</v>
      </c>
    </row>
    <row r="130" spans="1:2" x14ac:dyDescent="0.35">
      <c r="A130" s="2">
        <v>23</v>
      </c>
      <c r="B130" s="2">
        <v>4</v>
      </c>
    </row>
    <row r="131" spans="1:2" x14ac:dyDescent="0.35">
      <c r="A131" s="2">
        <v>22</v>
      </c>
      <c r="B131" s="2">
        <v>4</v>
      </c>
    </row>
    <row r="132" spans="1:2" x14ac:dyDescent="0.35">
      <c r="A132" s="2">
        <v>36</v>
      </c>
      <c r="B132" s="2">
        <v>1</v>
      </c>
    </row>
    <row r="133" spans="1:2" x14ac:dyDescent="0.35">
      <c r="A133" s="2">
        <v>38</v>
      </c>
      <c r="B133" s="2">
        <v>4</v>
      </c>
    </row>
    <row r="134" spans="1:2" x14ac:dyDescent="0.35">
      <c r="A134" s="2">
        <v>37</v>
      </c>
      <c r="B134" s="2">
        <v>3</v>
      </c>
    </row>
    <row r="135" spans="1:2" x14ac:dyDescent="0.35">
      <c r="A135" s="2">
        <v>44</v>
      </c>
      <c r="B135" s="2">
        <v>4</v>
      </c>
    </row>
    <row r="136" spans="1:2" x14ac:dyDescent="0.35">
      <c r="A136" s="2">
        <v>31</v>
      </c>
      <c r="B136" s="2">
        <v>4</v>
      </c>
    </row>
    <row r="137" spans="1:2" x14ac:dyDescent="0.35">
      <c r="A137" s="2">
        <v>64</v>
      </c>
      <c r="B137" s="2">
        <v>2</v>
      </c>
    </row>
    <row r="138" spans="1:2" x14ac:dyDescent="0.35">
      <c r="A138" s="2">
        <v>40</v>
      </c>
      <c r="B138" s="2">
        <v>3</v>
      </c>
    </row>
    <row r="139" spans="1:2" x14ac:dyDescent="0.35">
      <c r="A139" s="2">
        <v>35</v>
      </c>
      <c r="B139" s="2">
        <v>1</v>
      </c>
    </row>
    <row r="140" spans="1:2" x14ac:dyDescent="0.35">
      <c r="A140" s="2">
        <v>58</v>
      </c>
      <c r="B140" s="2">
        <v>2</v>
      </c>
    </row>
    <row r="141" spans="1:2" x14ac:dyDescent="0.35">
      <c r="A141" s="2">
        <v>35</v>
      </c>
      <c r="B141" s="2">
        <v>1</v>
      </c>
    </row>
    <row r="142" spans="1:2" x14ac:dyDescent="0.35">
      <c r="A142" s="2">
        <v>54</v>
      </c>
      <c r="B142" s="2">
        <v>3</v>
      </c>
    </row>
    <row r="143" spans="1:2" x14ac:dyDescent="0.35">
      <c r="A143" s="2">
        <v>20</v>
      </c>
      <c r="B143" s="2">
        <v>3</v>
      </c>
    </row>
    <row r="144" spans="1:2" x14ac:dyDescent="0.35">
      <c r="A144" s="2">
        <v>35</v>
      </c>
      <c r="B144" s="2">
        <v>1</v>
      </c>
    </row>
    <row r="145" spans="1:2" x14ac:dyDescent="0.35">
      <c r="A145" s="2">
        <v>45</v>
      </c>
      <c r="B145" s="2">
        <v>4</v>
      </c>
    </row>
    <row r="146" spans="1:2" x14ac:dyDescent="0.35">
      <c r="A146" s="2">
        <v>33</v>
      </c>
      <c r="B146" s="2">
        <v>2</v>
      </c>
    </row>
    <row r="147" spans="1:2" x14ac:dyDescent="0.35">
      <c r="A147" s="2">
        <v>42</v>
      </c>
      <c r="B147" s="2">
        <v>1</v>
      </c>
    </row>
    <row r="148" spans="1:2" x14ac:dyDescent="0.35">
      <c r="A148" s="2">
        <v>56</v>
      </c>
      <c r="B148" s="2">
        <v>2</v>
      </c>
    </row>
    <row r="149" spans="1:2" x14ac:dyDescent="0.35">
      <c r="A149" s="2">
        <v>53</v>
      </c>
      <c r="B149" s="2">
        <v>3</v>
      </c>
    </row>
    <row r="150" spans="1:2" x14ac:dyDescent="0.35">
      <c r="A150" s="2">
        <v>47</v>
      </c>
      <c r="B150" s="2">
        <v>1</v>
      </c>
    </row>
    <row r="151" spans="1:2" x14ac:dyDescent="0.35">
      <c r="A151" s="2">
        <v>46</v>
      </c>
      <c r="B151" s="2">
        <v>2</v>
      </c>
    </row>
    <row r="152" spans="1:2" x14ac:dyDescent="0.35">
      <c r="A152" s="2">
        <v>47</v>
      </c>
      <c r="B152" s="2">
        <v>3</v>
      </c>
    </row>
    <row r="153" spans="1:2" x14ac:dyDescent="0.35">
      <c r="A153" s="2">
        <v>32</v>
      </c>
      <c r="B153" s="2">
        <v>4</v>
      </c>
    </row>
    <row r="154" spans="1:2" x14ac:dyDescent="0.35">
      <c r="A154" s="2">
        <v>22</v>
      </c>
      <c r="B154" s="2">
        <v>2</v>
      </c>
    </row>
    <row r="155" spans="1:2" x14ac:dyDescent="0.35">
      <c r="A155" s="2">
        <v>34</v>
      </c>
      <c r="B155" s="2">
        <v>1</v>
      </c>
    </row>
    <row r="156" spans="1:2" x14ac:dyDescent="0.35">
      <c r="A156" s="2">
        <v>41</v>
      </c>
      <c r="B156" s="2">
        <v>2</v>
      </c>
    </row>
    <row r="157" spans="1:2" x14ac:dyDescent="0.35">
      <c r="A157" s="2">
        <v>57</v>
      </c>
      <c r="B157" s="2">
        <v>1</v>
      </c>
    </row>
    <row r="158" spans="1:2" x14ac:dyDescent="0.35">
      <c r="A158" s="2">
        <v>37</v>
      </c>
      <c r="B158" s="2">
        <v>2</v>
      </c>
    </row>
    <row r="159" spans="1:2" x14ac:dyDescent="0.35">
      <c r="A159" s="2">
        <v>45</v>
      </c>
      <c r="B159" s="2">
        <v>4</v>
      </c>
    </row>
    <row r="160" spans="1:2" x14ac:dyDescent="0.35">
      <c r="A160" s="2">
        <v>42</v>
      </c>
      <c r="B160" s="2">
        <v>4</v>
      </c>
    </row>
    <row r="161" spans="1:2" x14ac:dyDescent="0.35">
      <c r="A161" s="2">
        <v>53</v>
      </c>
      <c r="B161" s="2">
        <v>3</v>
      </c>
    </row>
    <row r="162" spans="1:2" x14ac:dyDescent="0.35">
      <c r="A162" s="2">
        <v>27</v>
      </c>
      <c r="B162" s="2">
        <v>3</v>
      </c>
    </row>
    <row r="163" spans="1:2" x14ac:dyDescent="0.35">
      <c r="A163" s="2">
        <v>38</v>
      </c>
      <c r="B163" s="2">
        <v>1</v>
      </c>
    </row>
    <row r="164" spans="1:2" x14ac:dyDescent="0.35">
      <c r="A164" s="2">
        <v>30</v>
      </c>
      <c r="B164" s="2">
        <v>4</v>
      </c>
    </row>
    <row r="165" spans="1:2" x14ac:dyDescent="0.35">
      <c r="A165" s="2">
        <v>43</v>
      </c>
      <c r="B165" s="2">
        <v>2</v>
      </c>
    </row>
    <row r="166" spans="1:2" x14ac:dyDescent="0.35">
      <c r="A166" s="2">
        <v>53</v>
      </c>
      <c r="B166" s="2">
        <v>4</v>
      </c>
    </row>
    <row r="167" spans="1:2" x14ac:dyDescent="0.35">
      <c r="A167" s="2">
        <v>46</v>
      </c>
      <c r="B167" s="2">
        <v>2</v>
      </c>
    </row>
    <row r="168" spans="1:2" x14ac:dyDescent="0.35">
      <c r="A168" s="2">
        <v>17</v>
      </c>
      <c r="B168" s="2">
        <v>1</v>
      </c>
    </row>
    <row r="169" spans="1:2" x14ac:dyDescent="0.35">
      <c r="A169" s="2">
        <v>46</v>
      </c>
      <c r="B169" s="2">
        <v>4</v>
      </c>
    </row>
    <row r="170" spans="1:2" x14ac:dyDescent="0.35">
      <c r="A170" s="2">
        <v>24</v>
      </c>
      <c r="B170" s="2">
        <v>3</v>
      </c>
    </row>
    <row r="171" spans="1:2" x14ac:dyDescent="0.35">
      <c r="A171" s="2">
        <v>35</v>
      </c>
      <c r="B171" s="2">
        <v>3</v>
      </c>
    </row>
    <row r="172" spans="1:2" x14ac:dyDescent="0.35">
      <c r="A172" s="2">
        <v>35</v>
      </c>
      <c r="B172" s="2">
        <v>4</v>
      </c>
    </row>
    <row r="173" spans="1:2" x14ac:dyDescent="0.35">
      <c r="A173" s="2">
        <v>46</v>
      </c>
      <c r="B173" s="2">
        <v>2</v>
      </c>
    </row>
    <row r="174" spans="1:2" x14ac:dyDescent="0.35">
      <c r="A174" s="2">
        <v>60</v>
      </c>
      <c r="B174" s="2">
        <v>2</v>
      </c>
    </row>
    <row r="175" spans="1:2" x14ac:dyDescent="0.35">
      <c r="A175" s="2">
        <v>28</v>
      </c>
      <c r="B175" s="2">
        <v>1</v>
      </c>
    </row>
    <row r="176" spans="1:2" x14ac:dyDescent="0.35">
      <c r="A176" s="2">
        <v>30</v>
      </c>
      <c r="B176" s="2">
        <v>1</v>
      </c>
    </row>
    <row r="177" spans="1:2" x14ac:dyDescent="0.35">
      <c r="A177" s="2">
        <v>41</v>
      </c>
      <c r="B177" s="2">
        <v>2</v>
      </c>
    </row>
    <row r="178" spans="1:2" x14ac:dyDescent="0.35">
      <c r="A178" s="2">
        <v>52</v>
      </c>
      <c r="B178" s="2">
        <v>4</v>
      </c>
    </row>
    <row r="179" spans="1:2" x14ac:dyDescent="0.35">
      <c r="A179" s="2">
        <v>30</v>
      </c>
      <c r="B179" s="2">
        <v>2</v>
      </c>
    </row>
    <row r="180" spans="1:2" x14ac:dyDescent="0.35">
      <c r="A180" s="2">
        <v>33</v>
      </c>
      <c r="B180" s="2">
        <v>4</v>
      </c>
    </row>
    <row r="181" spans="1:2" x14ac:dyDescent="0.35">
      <c r="A181" s="2">
        <v>33</v>
      </c>
      <c r="B181" s="2">
        <v>1</v>
      </c>
    </row>
    <row r="182" spans="1:2" x14ac:dyDescent="0.35">
      <c r="A182" s="2">
        <v>21</v>
      </c>
      <c r="B182" s="2">
        <v>1</v>
      </c>
    </row>
    <row r="183" spans="1:2" x14ac:dyDescent="0.35">
      <c r="A183" s="2">
        <v>33</v>
      </c>
      <c r="B183" s="2">
        <v>2</v>
      </c>
    </row>
    <row r="184" spans="1:2" x14ac:dyDescent="0.35">
      <c r="A184" s="2">
        <v>34</v>
      </c>
      <c r="B184" s="2">
        <v>3</v>
      </c>
    </row>
    <row r="185" spans="1:2" x14ac:dyDescent="0.35">
      <c r="A185" s="2">
        <v>12</v>
      </c>
      <c r="B185" s="2">
        <v>3</v>
      </c>
    </row>
    <row r="186" spans="1:2" x14ac:dyDescent="0.35">
      <c r="A186" s="2">
        <v>59</v>
      </c>
      <c r="B186" s="2">
        <v>1</v>
      </c>
    </row>
    <row r="187" spans="1:2" x14ac:dyDescent="0.35">
      <c r="A187" s="2">
        <v>47</v>
      </c>
      <c r="B187" s="2">
        <v>2</v>
      </c>
    </row>
    <row r="188" spans="1:2" x14ac:dyDescent="0.35">
      <c r="A188" s="2">
        <v>61</v>
      </c>
      <c r="B188" s="2">
        <v>4</v>
      </c>
    </row>
    <row r="189" spans="1:2" x14ac:dyDescent="0.35">
      <c r="A189" s="2">
        <v>41</v>
      </c>
      <c r="B189" s="2">
        <v>2</v>
      </c>
    </row>
    <row r="190" spans="1:2" x14ac:dyDescent="0.35">
      <c r="A190" s="2">
        <v>46</v>
      </c>
      <c r="B190" s="2">
        <v>2</v>
      </c>
    </row>
    <row r="191" spans="1:2" x14ac:dyDescent="0.35">
      <c r="A191" s="2">
        <v>54</v>
      </c>
      <c r="B191" s="2">
        <v>3</v>
      </c>
    </row>
    <row r="192" spans="1:2" x14ac:dyDescent="0.35">
      <c r="A192" s="2">
        <v>32</v>
      </c>
      <c r="B192" s="2">
        <v>3</v>
      </c>
    </row>
    <row r="193" spans="1:2" x14ac:dyDescent="0.35">
      <c r="A193" s="2">
        <v>45</v>
      </c>
      <c r="B193" s="2">
        <v>4</v>
      </c>
    </row>
    <row r="194" spans="1:2" x14ac:dyDescent="0.35">
      <c r="A194" s="2">
        <v>8</v>
      </c>
      <c r="B194" s="2">
        <v>3</v>
      </c>
    </row>
    <row r="195" spans="1:2" x14ac:dyDescent="0.35">
      <c r="A195" s="2">
        <v>37</v>
      </c>
      <c r="B195" s="2">
        <v>4</v>
      </c>
    </row>
    <row r="196" spans="1:2" x14ac:dyDescent="0.35">
      <c r="A196" s="2">
        <v>29</v>
      </c>
      <c r="B196" s="2">
        <v>4</v>
      </c>
    </row>
    <row r="197" spans="1:2" x14ac:dyDescent="0.35">
      <c r="A197" s="2">
        <v>36</v>
      </c>
      <c r="B197" s="2">
        <v>1</v>
      </c>
    </row>
    <row r="198" spans="1:2" x14ac:dyDescent="0.35">
      <c r="A198" s="2">
        <v>34</v>
      </c>
      <c r="B198" s="2">
        <v>1</v>
      </c>
    </row>
    <row r="199" spans="1:2" x14ac:dyDescent="0.35">
      <c r="A199" s="2">
        <v>30</v>
      </c>
      <c r="B199" s="2">
        <v>3</v>
      </c>
    </row>
    <row r="200" spans="1:2" x14ac:dyDescent="0.35">
      <c r="A200" s="2">
        <v>39</v>
      </c>
      <c r="B200" s="2">
        <v>4</v>
      </c>
    </row>
    <row r="201" spans="1:2" x14ac:dyDescent="0.35">
      <c r="A201" s="2">
        <v>34</v>
      </c>
      <c r="B201" s="2">
        <v>4</v>
      </c>
    </row>
    <row r="202" spans="1:2" x14ac:dyDescent="0.35">
      <c r="A202" s="2">
        <v>32</v>
      </c>
      <c r="B202" s="2">
        <v>4</v>
      </c>
    </row>
    <row r="203" spans="1:2" x14ac:dyDescent="0.35">
      <c r="A203" s="2">
        <v>47</v>
      </c>
      <c r="B203" s="2">
        <v>4</v>
      </c>
    </row>
    <row r="204" spans="1:2" x14ac:dyDescent="0.35">
      <c r="A204" s="2">
        <v>50</v>
      </c>
      <c r="B204" s="2">
        <v>1</v>
      </c>
    </row>
    <row r="205" spans="1:2" x14ac:dyDescent="0.35">
      <c r="A205" s="2">
        <v>46</v>
      </c>
      <c r="B205" s="2">
        <v>1</v>
      </c>
    </row>
    <row r="206" spans="1:2" x14ac:dyDescent="0.35">
      <c r="A206" s="2">
        <v>45</v>
      </c>
      <c r="B206" s="2">
        <v>1</v>
      </c>
    </row>
    <row r="207" spans="1:2" x14ac:dyDescent="0.35">
      <c r="A207" s="2">
        <v>63</v>
      </c>
      <c r="B207" s="2">
        <v>3</v>
      </c>
    </row>
    <row r="208" spans="1:2" x14ac:dyDescent="0.35">
      <c r="A208" s="2">
        <v>35</v>
      </c>
      <c r="B208" s="2">
        <v>4</v>
      </c>
    </row>
    <row r="209" spans="1:2" x14ac:dyDescent="0.35">
      <c r="A209" s="2">
        <v>32</v>
      </c>
      <c r="B209" s="2">
        <v>4</v>
      </c>
    </row>
    <row r="210" spans="1:2" x14ac:dyDescent="0.35">
      <c r="A210" s="2">
        <v>48</v>
      </c>
      <c r="B210" s="2">
        <v>3</v>
      </c>
    </row>
    <row r="211" spans="1:2" x14ac:dyDescent="0.35">
      <c r="A211" s="2">
        <v>32</v>
      </c>
      <c r="B211" s="2">
        <v>3</v>
      </c>
    </row>
    <row r="212" spans="1:2" x14ac:dyDescent="0.35">
      <c r="A212" s="2">
        <v>68</v>
      </c>
      <c r="B212" s="2">
        <v>2</v>
      </c>
    </row>
    <row r="213" spans="1:2" x14ac:dyDescent="0.35">
      <c r="A213" s="2">
        <v>37</v>
      </c>
      <c r="B213" s="2">
        <v>4</v>
      </c>
    </row>
    <row r="214" spans="1:2" x14ac:dyDescent="0.35">
      <c r="A214" s="2">
        <v>50</v>
      </c>
      <c r="B214" s="2">
        <v>1</v>
      </c>
    </row>
    <row r="215" spans="1:2" x14ac:dyDescent="0.35">
      <c r="A215" s="2">
        <v>41</v>
      </c>
      <c r="B215" s="2">
        <v>4</v>
      </c>
    </row>
    <row r="216" spans="1:2" x14ac:dyDescent="0.35">
      <c r="A216" s="2">
        <v>29</v>
      </c>
      <c r="B216" s="2">
        <v>4</v>
      </c>
    </row>
    <row r="217" spans="1:2" x14ac:dyDescent="0.35">
      <c r="A217" s="2">
        <v>29</v>
      </c>
      <c r="B217" s="2">
        <v>3</v>
      </c>
    </row>
    <row r="218" spans="1:2" x14ac:dyDescent="0.35">
      <c r="A218" s="2">
        <v>49</v>
      </c>
      <c r="B218" s="2">
        <v>4</v>
      </c>
    </row>
    <row r="219" spans="1:2" x14ac:dyDescent="0.35">
      <c r="A219" s="2">
        <v>15</v>
      </c>
      <c r="B219" s="2">
        <v>3</v>
      </c>
    </row>
    <row r="220" spans="1:2" x14ac:dyDescent="0.35">
      <c r="A220" s="2">
        <v>50</v>
      </c>
      <c r="B220" s="2">
        <v>4</v>
      </c>
    </row>
    <row r="221" spans="1:2" x14ac:dyDescent="0.35">
      <c r="A221" s="2">
        <v>46</v>
      </c>
      <c r="B221" s="2">
        <v>1</v>
      </c>
    </row>
    <row r="222" spans="1:2" x14ac:dyDescent="0.35">
      <c r="A222" s="2">
        <v>45</v>
      </c>
      <c r="B222" s="2">
        <v>4</v>
      </c>
    </row>
    <row r="223" spans="1:2" x14ac:dyDescent="0.35">
      <c r="A223" s="2">
        <v>33</v>
      </c>
      <c r="B223" s="2">
        <v>3</v>
      </c>
    </row>
    <row r="224" spans="1:2" x14ac:dyDescent="0.35">
      <c r="A224" s="2">
        <v>48</v>
      </c>
      <c r="B224" s="2">
        <v>2</v>
      </c>
    </row>
    <row r="225" spans="1:2" x14ac:dyDescent="0.35">
      <c r="A225" s="2">
        <v>41</v>
      </c>
      <c r="B225" s="2">
        <v>2</v>
      </c>
    </row>
    <row r="226" spans="1:2" x14ac:dyDescent="0.35">
      <c r="A226" s="2">
        <v>35</v>
      </c>
      <c r="B226" s="2">
        <v>1</v>
      </c>
    </row>
    <row r="227" spans="1:2" x14ac:dyDescent="0.35">
      <c r="A227" s="2">
        <v>27</v>
      </c>
      <c r="B227" s="2">
        <v>1</v>
      </c>
    </row>
    <row r="228" spans="1:2" x14ac:dyDescent="0.35">
      <c r="A228" s="2">
        <v>27</v>
      </c>
      <c r="B228" s="2">
        <v>4</v>
      </c>
    </row>
    <row r="229" spans="1:2" x14ac:dyDescent="0.35">
      <c r="A229" s="2">
        <v>40</v>
      </c>
      <c r="B229" s="2">
        <v>4</v>
      </c>
    </row>
    <row r="230" spans="1:2" x14ac:dyDescent="0.35">
      <c r="A230" s="2">
        <v>49</v>
      </c>
      <c r="B230" s="2">
        <v>2</v>
      </c>
    </row>
    <row r="231" spans="1:2" x14ac:dyDescent="0.35">
      <c r="A231" s="2">
        <v>1</v>
      </c>
      <c r="B231" s="2">
        <v>1</v>
      </c>
    </row>
    <row r="232" spans="1:2" x14ac:dyDescent="0.35">
      <c r="A232" s="2">
        <v>47</v>
      </c>
      <c r="B232" s="2">
        <v>2</v>
      </c>
    </row>
    <row r="233" spans="1:2" x14ac:dyDescent="0.35">
      <c r="A233" s="2">
        <v>45</v>
      </c>
      <c r="B233" s="2">
        <v>1</v>
      </c>
    </row>
    <row r="234" spans="1:2" x14ac:dyDescent="0.35">
      <c r="A234" s="2">
        <v>46</v>
      </c>
      <c r="B234" s="2">
        <v>2</v>
      </c>
    </row>
    <row r="235" spans="1:2" x14ac:dyDescent="0.35">
      <c r="A235" s="2">
        <v>55</v>
      </c>
      <c r="B235" s="2">
        <v>1</v>
      </c>
    </row>
    <row r="236" spans="1:2" x14ac:dyDescent="0.35">
      <c r="A236" s="2">
        <v>55</v>
      </c>
      <c r="B236" s="2">
        <v>3</v>
      </c>
    </row>
    <row r="237" spans="1:2" x14ac:dyDescent="0.35">
      <c r="A237" s="2">
        <v>16</v>
      </c>
      <c r="B237" s="2">
        <v>3</v>
      </c>
    </row>
    <row r="238" spans="1:2" x14ac:dyDescent="0.35">
      <c r="A238" s="2">
        <v>51</v>
      </c>
      <c r="B238" s="2">
        <v>4</v>
      </c>
    </row>
    <row r="239" spans="1:2" x14ac:dyDescent="0.35">
      <c r="A239" s="2">
        <v>15</v>
      </c>
      <c r="B239" s="2">
        <v>2</v>
      </c>
    </row>
    <row r="240" spans="1:2" x14ac:dyDescent="0.35">
      <c r="A240" s="2">
        <v>22</v>
      </c>
      <c r="B240" s="2">
        <v>1</v>
      </c>
    </row>
    <row r="241" spans="1:2" x14ac:dyDescent="0.35">
      <c r="A241" s="2">
        <v>47</v>
      </c>
      <c r="B241" s="2">
        <v>4</v>
      </c>
    </row>
    <row r="242" spans="1:2" x14ac:dyDescent="0.35">
      <c r="A242" s="2">
        <v>39</v>
      </c>
      <c r="B242" s="2">
        <v>4</v>
      </c>
    </row>
    <row r="243" spans="1:2" x14ac:dyDescent="0.35">
      <c r="A243" s="2">
        <v>35</v>
      </c>
      <c r="B243" s="2">
        <v>4</v>
      </c>
    </row>
    <row r="244" spans="1:2" x14ac:dyDescent="0.35">
      <c r="A244" s="2">
        <v>48</v>
      </c>
      <c r="B244" s="2">
        <v>3</v>
      </c>
    </row>
    <row r="245" spans="1:2" x14ac:dyDescent="0.35">
      <c r="A245" s="2">
        <v>33</v>
      </c>
      <c r="B245" s="2">
        <v>2</v>
      </c>
    </row>
    <row r="246" spans="1:2" x14ac:dyDescent="0.35">
      <c r="A246" s="2">
        <v>42</v>
      </c>
      <c r="B246" s="2">
        <v>4</v>
      </c>
    </row>
    <row r="247" spans="1:2" x14ac:dyDescent="0.35">
      <c r="A247" s="2">
        <v>35</v>
      </c>
      <c r="B247" s="2">
        <v>1</v>
      </c>
    </row>
    <row r="248" spans="1:2" x14ac:dyDescent="0.35">
      <c r="A248" s="2">
        <v>37</v>
      </c>
      <c r="B248" s="2">
        <v>2</v>
      </c>
    </row>
    <row r="249" spans="1:2" x14ac:dyDescent="0.35">
      <c r="A249" s="2">
        <v>57</v>
      </c>
      <c r="B249" s="2">
        <v>2</v>
      </c>
    </row>
    <row r="250" spans="1:2" x14ac:dyDescent="0.35">
      <c r="A250" s="2">
        <v>26</v>
      </c>
      <c r="B250" s="2">
        <v>3</v>
      </c>
    </row>
    <row r="251" spans="1:2" x14ac:dyDescent="0.35">
      <c r="A251" s="2">
        <v>52</v>
      </c>
      <c r="B251" s="2">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360BC-D2C3-47E4-898E-E741EE3FD23B}">
  <sheetPr filterMode="1"/>
  <dimension ref="A1:C251"/>
  <sheetViews>
    <sheetView showGridLines="0" topLeftCell="A125" workbookViewId="0">
      <selection activeCell="F4" sqref="F4"/>
    </sheetView>
  </sheetViews>
  <sheetFormatPr defaultRowHeight="14.5" x14ac:dyDescent="0.35"/>
  <cols>
    <col min="1" max="1" width="8.90625" bestFit="1" customWidth="1"/>
    <col min="2" max="2" width="12.6328125" bestFit="1" customWidth="1"/>
    <col min="3" max="3" width="21.453125" bestFit="1" customWidth="1"/>
    <col min="6" max="6" width="15.6328125" bestFit="1" customWidth="1"/>
  </cols>
  <sheetData>
    <row r="1" spans="1:3" ht="19" thickTop="1" thickBot="1" x14ac:dyDescent="0.4">
      <c r="A1" s="1" t="s">
        <v>0</v>
      </c>
      <c r="B1" s="1" t="s">
        <v>9</v>
      </c>
      <c r="C1" s="1" t="s">
        <v>10</v>
      </c>
    </row>
    <row r="2" spans="1:3" ht="15" hidden="1" thickTop="1" x14ac:dyDescent="0.35">
      <c r="A2" s="2" t="str" cm="1">
        <f t="array" ref="A2:A251">IF(Data!B2:B251=2,Data!A2:A251, "-")</f>
        <v>-</v>
      </c>
      <c r="B2" s="2" t="str" cm="1">
        <f t="array" ref="B2:B251">IF(Data!B2:B251=2,Data!B2:B251, "-")</f>
        <v>-</v>
      </c>
      <c r="C2" s="2" t="str" cm="1">
        <f t="array" ref="C2:C251">IF(Data!B2:B251=2, "SI", "NO")</f>
        <v>NO</v>
      </c>
    </row>
    <row r="3" spans="1:3" ht="15" hidden="1" thickTop="1" x14ac:dyDescent="0.35">
      <c r="A3" s="2" t="str">
        <v>-</v>
      </c>
      <c r="B3" s="2" t="str">
        <v>-</v>
      </c>
      <c r="C3" s="2" t="str">
        <v>NO</v>
      </c>
    </row>
    <row r="4" spans="1:3" ht="15" thickTop="1" x14ac:dyDescent="0.35">
      <c r="A4" s="2">
        <v>36</v>
      </c>
      <c r="B4" s="2">
        <v>2</v>
      </c>
      <c r="C4" s="2" t="str">
        <v>SI</v>
      </c>
    </row>
    <row r="5" spans="1:3" hidden="1" x14ac:dyDescent="0.35">
      <c r="A5" s="2" t="str">
        <v>-</v>
      </c>
      <c r="B5" s="2" t="str">
        <v>-</v>
      </c>
      <c r="C5" s="2" t="str">
        <v>NO</v>
      </c>
    </row>
    <row r="6" spans="1:3" hidden="1" x14ac:dyDescent="0.35">
      <c r="A6" s="2" t="str">
        <v>-</v>
      </c>
      <c r="B6" s="2" t="str">
        <v>-</v>
      </c>
      <c r="C6" s="2" t="str">
        <v>NO</v>
      </c>
    </row>
    <row r="7" spans="1:3" hidden="1" x14ac:dyDescent="0.35">
      <c r="A7" s="2" t="str">
        <v>-</v>
      </c>
      <c r="B7" s="2" t="str">
        <v>-</v>
      </c>
      <c r="C7" s="2" t="str">
        <v>NO</v>
      </c>
    </row>
    <row r="8" spans="1:3" x14ac:dyDescent="0.35">
      <c r="A8" s="2">
        <v>44</v>
      </c>
      <c r="B8" s="2">
        <v>2</v>
      </c>
      <c r="C8" s="2" t="str">
        <v>SI</v>
      </c>
    </row>
    <row r="9" spans="1:3" x14ac:dyDescent="0.35">
      <c r="A9" s="2">
        <v>32</v>
      </c>
      <c r="B9" s="2">
        <v>2</v>
      </c>
      <c r="C9" s="2" t="str">
        <v>SI</v>
      </c>
    </row>
    <row r="10" spans="1:3" hidden="1" x14ac:dyDescent="0.35">
      <c r="A10" s="2" t="str">
        <v>-</v>
      </c>
      <c r="B10" s="2" t="str">
        <v>-</v>
      </c>
      <c r="C10" s="2" t="str">
        <v>NO</v>
      </c>
    </row>
    <row r="11" spans="1:3" hidden="1" x14ac:dyDescent="0.35">
      <c r="A11" s="2" t="str">
        <v>-</v>
      </c>
      <c r="B11" s="2" t="str">
        <v>-</v>
      </c>
      <c r="C11" s="2" t="str">
        <v>NO</v>
      </c>
    </row>
    <row r="12" spans="1:3" hidden="1" x14ac:dyDescent="0.35">
      <c r="A12" s="2" t="str">
        <v>-</v>
      </c>
      <c r="B12" s="2" t="str">
        <v>-</v>
      </c>
      <c r="C12" s="2" t="str">
        <v>NO</v>
      </c>
    </row>
    <row r="13" spans="1:3" hidden="1" x14ac:dyDescent="0.35">
      <c r="A13" s="2" t="str">
        <v>-</v>
      </c>
      <c r="B13" s="2" t="str">
        <v>-</v>
      </c>
      <c r="C13" s="2" t="str">
        <v>NO</v>
      </c>
    </row>
    <row r="14" spans="1:3" hidden="1" x14ac:dyDescent="0.35">
      <c r="A14" s="2" t="str">
        <v>-</v>
      </c>
      <c r="B14" s="2" t="str">
        <v>-</v>
      </c>
      <c r="C14" s="2" t="str">
        <v>NO</v>
      </c>
    </row>
    <row r="15" spans="1:3" x14ac:dyDescent="0.35">
      <c r="A15" s="2">
        <v>40</v>
      </c>
      <c r="B15" s="2">
        <v>2</v>
      </c>
      <c r="C15" s="2" t="str">
        <v>SI</v>
      </c>
    </row>
    <row r="16" spans="1:3" hidden="1" x14ac:dyDescent="0.35">
      <c r="A16" s="2" t="str">
        <v>-</v>
      </c>
      <c r="B16" s="2" t="str">
        <v>-</v>
      </c>
      <c r="C16" s="2" t="str">
        <v>NO</v>
      </c>
    </row>
    <row r="17" spans="1:3" hidden="1" x14ac:dyDescent="0.35">
      <c r="A17" s="2" t="str">
        <v>-</v>
      </c>
      <c r="B17" s="2" t="str">
        <v>-</v>
      </c>
      <c r="C17" s="2" t="str">
        <v>NO</v>
      </c>
    </row>
    <row r="18" spans="1:3" hidden="1" x14ac:dyDescent="0.35">
      <c r="A18" s="2" t="str">
        <v>-</v>
      </c>
      <c r="B18" s="2" t="str">
        <v>-</v>
      </c>
      <c r="C18" s="2" t="str">
        <v>NO</v>
      </c>
    </row>
    <row r="19" spans="1:3" hidden="1" x14ac:dyDescent="0.35">
      <c r="A19" s="2" t="str">
        <v>-</v>
      </c>
      <c r="B19" s="2" t="str">
        <v>-</v>
      </c>
      <c r="C19" s="2" t="str">
        <v>NO</v>
      </c>
    </row>
    <row r="20" spans="1:3" x14ac:dyDescent="0.35">
      <c r="A20" s="2">
        <v>54</v>
      </c>
      <c r="B20" s="2">
        <v>2</v>
      </c>
      <c r="C20" s="2" t="str">
        <v>SI</v>
      </c>
    </row>
    <row r="21" spans="1:3" x14ac:dyDescent="0.35">
      <c r="A21" s="2">
        <v>34</v>
      </c>
      <c r="B21" s="2">
        <v>2</v>
      </c>
      <c r="C21" s="2" t="str">
        <v>SI</v>
      </c>
    </row>
    <row r="22" spans="1:3" x14ac:dyDescent="0.35">
      <c r="A22" s="2">
        <v>41</v>
      </c>
      <c r="B22" s="2">
        <v>2</v>
      </c>
      <c r="C22" s="2" t="str">
        <v>SI</v>
      </c>
    </row>
    <row r="23" spans="1:3" hidden="1" x14ac:dyDescent="0.35">
      <c r="A23" s="2" t="str">
        <v>-</v>
      </c>
      <c r="B23" s="2" t="str">
        <v>-</v>
      </c>
      <c r="C23" s="2" t="str">
        <v>NO</v>
      </c>
    </row>
    <row r="24" spans="1:3" hidden="1" x14ac:dyDescent="0.35">
      <c r="A24" s="2" t="str">
        <v>-</v>
      </c>
      <c r="B24" s="2" t="str">
        <v>-</v>
      </c>
      <c r="C24" s="2" t="str">
        <v>NO</v>
      </c>
    </row>
    <row r="25" spans="1:3" hidden="1" x14ac:dyDescent="0.35">
      <c r="A25" s="2" t="str">
        <v>-</v>
      </c>
      <c r="B25" s="2" t="str">
        <v>-</v>
      </c>
      <c r="C25" s="2" t="str">
        <v>NO</v>
      </c>
    </row>
    <row r="26" spans="1:3" hidden="1" x14ac:dyDescent="0.35">
      <c r="A26" s="2" t="str">
        <v>-</v>
      </c>
      <c r="B26" s="2" t="str">
        <v>-</v>
      </c>
      <c r="C26" s="2" t="str">
        <v>NO</v>
      </c>
    </row>
    <row r="27" spans="1:3" hidden="1" x14ac:dyDescent="0.35">
      <c r="A27" s="2" t="str">
        <v>-</v>
      </c>
      <c r="B27" s="2" t="str">
        <v>-</v>
      </c>
      <c r="C27" s="2" t="str">
        <v>NO</v>
      </c>
    </row>
    <row r="28" spans="1:3" hidden="1" x14ac:dyDescent="0.35">
      <c r="A28" s="2" t="str">
        <v>-</v>
      </c>
      <c r="B28" s="2" t="str">
        <v>-</v>
      </c>
      <c r="C28" s="2" t="str">
        <v>NO</v>
      </c>
    </row>
    <row r="29" spans="1:3" hidden="1" x14ac:dyDescent="0.35">
      <c r="A29" s="2" t="str">
        <v>-</v>
      </c>
      <c r="B29" s="2" t="str">
        <v>-</v>
      </c>
      <c r="C29" s="2" t="str">
        <v>NO</v>
      </c>
    </row>
    <row r="30" spans="1:3" hidden="1" x14ac:dyDescent="0.35">
      <c r="A30" s="2" t="str">
        <v>-</v>
      </c>
      <c r="B30" s="2" t="str">
        <v>-</v>
      </c>
      <c r="C30" s="2" t="str">
        <v>NO</v>
      </c>
    </row>
    <row r="31" spans="1:3" hidden="1" x14ac:dyDescent="0.35">
      <c r="A31" s="2" t="str">
        <v>-</v>
      </c>
      <c r="B31" s="2" t="str">
        <v>-</v>
      </c>
      <c r="C31" s="2" t="str">
        <v>NO</v>
      </c>
    </row>
    <row r="32" spans="1:3" hidden="1" x14ac:dyDescent="0.35">
      <c r="A32" s="2" t="str">
        <v>-</v>
      </c>
      <c r="B32" s="2" t="str">
        <v>-</v>
      </c>
      <c r="C32" s="2" t="str">
        <v>NO</v>
      </c>
    </row>
    <row r="33" spans="1:3" hidden="1" x14ac:dyDescent="0.35">
      <c r="A33" s="2" t="str">
        <v>-</v>
      </c>
      <c r="B33" s="2" t="str">
        <v>-</v>
      </c>
      <c r="C33" s="2" t="str">
        <v>NO</v>
      </c>
    </row>
    <row r="34" spans="1:3" x14ac:dyDescent="0.35">
      <c r="A34" s="2">
        <v>42</v>
      </c>
      <c r="B34" s="2">
        <v>2</v>
      </c>
      <c r="C34" s="2" t="str">
        <v>SI</v>
      </c>
    </row>
    <row r="35" spans="1:3" hidden="1" x14ac:dyDescent="0.35">
      <c r="A35" s="2" t="str">
        <v>-</v>
      </c>
      <c r="B35" s="2" t="str">
        <v>-</v>
      </c>
      <c r="C35" s="2" t="str">
        <v>NO</v>
      </c>
    </row>
    <row r="36" spans="1:3" x14ac:dyDescent="0.35">
      <c r="A36" s="2">
        <v>48</v>
      </c>
      <c r="B36" s="2">
        <v>2</v>
      </c>
      <c r="C36" s="2" t="str">
        <v>SI</v>
      </c>
    </row>
    <row r="37" spans="1:3" hidden="1" x14ac:dyDescent="0.35">
      <c r="A37" s="2" t="str">
        <v>-</v>
      </c>
      <c r="B37" s="2" t="str">
        <v>-</v>
      </c>
      <c r="C37" s="2" t="str">
        <v>NO</v>
      </c>
    </row>
    <row r="38" spans="1:3" hidden="1" x14ac:dyDescent="0.35">
      <c r="A38" s="2" t="str">
        <v>-</v>
      </c>
      <c r="B38" s="2" t="str">
        <v>-</v>
      </c>
      <c r="C38" s="2" t="str">
        <v>NO</v>
      </c>
    </row>
    <row r="39" spans="1:3" x14ac:dyDescent="0.35">
      <c r="A39" s="2">
        <v>27</v>
      </c>
      <c r="B39" s="2">
        <v>2</v>
      </c>
      <c r="C39" s="2" t="str">
        <v>SI</v>
      </c>
    </row>
    <row r="40" spans="1:3" hidden="1" x14ac:dyDescent="0.35">
      <c r="A40" s="2" t="str">
        <v>-</v>
      </c>
      <c r="B40" s="2" t="str">
        <v>-</v>
      </c>
      <c r="C40" s="2" t="str">
        <v>NO</v>
      </c>
    </row>
    <row r="41" spans="1:3" x14ac:dyDescent="0.35">
      <c r="A41" s="2">
        <v>37</v>
      </c>
      <c r="B41" s="2">
        <v>2</v>
      </c>
      <c r="C41" s="2" t="str">
        <v>SI</v>
      </c>
    </row>
    <row r="42" spans="1:3" hidden="1" x14ac:dyDescent="0.35">
      <c r="A42" s="2" t="str">
        <v>-</v>
      </c>
      <c r="B42" s="2" t="str">
        <v>-</v>
      </c>
      <c r="C42" s="2" t="str">
        <v>NO</v>
      </c>
    </row>
    <row r="43" spans="1:3" hidden="1" x14ac:dyDescent="0.35">
      <c r="A43" s="2" t="str">
        <v>-</v>
      </c>
      <c r="B43" s="2" t="str">
        <v>-</v>
      </c>
      <c r="C43" s="2" t="str">
        <v>NO</v>
      </c>
    </row>
    <row r="44" spans="1:3" x14ac:dyDescent="0.35">
      <c r="A44" s="2">
        <v>47</v>
      </c>
      <c r="B44" s="2">
        <v>2</v>
      </c>
      <c r="C44" s="2" t="str">
        <v>SI</v>
      </c>
    </row>
    <row r="45" spans="1:3" hidden="1" x14ac:dyDescent="0.35">
      <c r="A45" s="2" t="str">
        <v>-</v>
      </c>
      <c r="B45" s="2" t="str">
        <v>-</v>
      </c>
      <c r="C45" s="2" t="str">
        <v>NO</v>
      </c>
    </row>
    <row r="46" spans="1:3" x14ac:dyDescent="0.35">
      <c r="A46" s="2">
        <v>41</v>
      </c>
      <c r="B46" s="2">
        <v>2</v>
      </c>
      <c r="C46" s="2" t="str">
        <v>SI</v>
      </c>
    </row>
    <row r="47" spans="1:3" hidden="1" x14ac:dyDescent="0.35">
      <c r="A47" s="2" t="str">
        <v>-</v>
      </c>
      <c r="B47" s="2" t="str">
        <v>-</v>
      </c>
      <c r="C47" s="2" t="str">
        <v>NO</v>
      </c>
    </row>
    <row r="48" spans="1:3" hidden="1" x14ac:dyDescent="0.35">
      <c r="A48" s="2" t="str">
        <v>-</v>
      </c>
      <c r="B48" s="2" t="str">
        <v>-</v>
      </c>
      <c r="C48" s="2" t="str">
        <v>NO</v>
      </c>
    </row>
    <row r="49" spans="1:3" x14ac:dyDescent="0.35">
      <c r="A49" s="2">
        <v>49</v>
      </c>
      <c r="B49" s="2">
        <v>2</v>
      </c>
      <c r="C49" s="2" t="str">
        <v>SI</v>
      </c>
    </row>
    <row r="50" spans="1:3" hidden="1" x14ac:dyDescent="0.35">
      <c r="A50" s="2" t="str">
        <v>-</v>
      </c>
      <c r="B50" s="2" t="str">
        <v>-</v>
      </c>
      <c r="C50" s="2" t="str">
        <v>NO</v>
      </c>
    </row>
    <row r="51" spans="1:3" hidden="1" x14ac:dyDescent="0.35">
      <c r="A51" s="2" t="str">
        <v>-</v>
      </c>
      <c r="B51" s="2" t="str">
        <v>-</v>
      </c>
      <c r="C51" s="2" t="str">
        <v>NO</v>
      </c>
    </row>
    <row r="52" spans="1:3" hidden="1" x14ac:dyDescent="0.35">
      <c r="A52" s="2" t="str">
        <v>-</v>
      </c>
      <c r="B52" s="2" t="str">
        <v>-</v>
      </c>
      <c r="C52" s="2" t="str">
        <v>NO</v>
      </c>
    </row>
    <row r="53" spans="1:3" hidden="1" x14ac:dyDescent="0.35">
      <c r="A53" s="2" t="str">
        <v>-</v>
      </c>
      <c r="B53" s="2" t="str">
        <v>-</v>
      </c>
      <c r="C53" s="2" t="str">
        <v>NO</v>
      </c>
    </row>
    <row r="54" spans="1:3" hidden="1" x14ac:dyDescent="0.35">
      <c r="A54" s="2" t="str">
        <v>-</v>
      </c>
      <c r="B54" s="2" t="str">
        <v>-</v>
      </c>
      <c r="C54" s="2" t="str">
        <v>NO</v>
      </c>
    </row>
    <row r="55" spans="1:3" hidden="1" x14ac:dyDescent="0.35">
      <c r="A55" s="2" t="str">
        <v>-</v>
      </c>
      <c r="B55" s="2" t="str">
        <v>-</v>
      </c>
      <c r="C55" s="2" t="str">
        <v>NO</v>
      </c>
    </row>
    <row r="56" spans="1:3" hidden="1" x14ac:dyDescent="0.35">
      <c r="A56" s="2" t="str">
        <v>-</v>
      </c>
      <c r="B56" s="2" t="str">
        <v>-</v>
      </c>
      <c r="C56" s="2" t="str">
        <v>NO</v>
      </c>
    </row>
    <row r="57" spans="1:3" x14ac:dyDescent="0.35">
      <c r="A57" s="2">
        <v>46</v>
      </c>
      <c r="B57" s="2">
        <v>2</v>
      </c>
      <c r="C57" s="2" t="str">
        <v>SI</v>
      </c>
    </row>
    <row r="58" spans="1:3" hidden="1" x14ac:dyDescent="0.35">
      <c r="A58" s="2" t="str">
        <v>-</v>
      </c>
      <c r="B58" s="2" t="str">
        <v>-</v>
      </c>
      <c r="C58" s="2" t="str">
        <v>NO</v>
      </c>
    </row>
    <row r="59" spans="1:3" hidden="1" x14ac:dyDescent="0.35">
      <c r="A59" s="2" t="str">
        <v>-</v>
      </c>
      <c r="B59" s="2" t="str">
        <v>-</v>
      </c>
      <c r="C59" s="2" t="str">
        <v>NO</v>
      </c>
    </row>
    <row r="60" spans="1:3" hidden="1" x14ac:dyDescent="0.35">
      <c r="A60" s="2" t="str">
        <v>-</v>
      </c>
      <c r="B60" s="2" t="str">
        <v>-</v>
      </c>
      <c r="C60" s="2" t="str">
        <v>NO</v>
      </c>
    </row>
    <row r="61" spans="1:3" x14ac:dyDescent="0.35">
      <c r="A61" s="2">
        <v>42</v>
      </c>
      <c r="B61" s="2">
        <v>2</v>
      </c>
      <c r="C61" s="2" t="str">
        <v>SI</v>
      </c>
    </row>
    <row r="62" spans="1:3" x14ac:dyDescent="0.35">
      <c r="A62" s="2">
        <v>36</v>
      </c>
      <c r="B62" s="2">
        <v>2</v>
      </c>
      <c r="C62" s="2" t="str">
        <v>SI</v>
      </c>
    </row>
    <row r="63" spans="1:3" hidden="1" x14ac:dyDescent="0.35">
      <c r="A63" s="2" t="str">
        <v>-</v>
      </c>
      <c r="B63" s="2" t="str">
        <v>-</v>
      </c>
      <c r="C63" s="2" t="str">
        <v>NO</v>
      </c>
    </row>
    <row r="64" spans="1:3" x14ac:dyDescent="0.35">
      <c r="A64" s="2">
        <v>36</v>
      </c>
      <c r="B64" s="2">
        <v>2</v>
      </c>
      <c r="C64" s="2" t="str">
        <v>SI</v>
      </c>
    </row>
    <row r="65" spans="1:3" hidden="1" x14ac:dyDescent="0.35">
      <c r="A65" s="2" t="str">
        <v>-</v>
      </c>
      <c r="B65" s="2" t="str">
        <v>-</v>
      </c>
      <c r="C65" s="2" t="str">
        <v>NO</v>
      </c>
    </row>
    <row r="66" spans="1:3" hidden="1" x14ac:dyDescent="0.35">
      <c r="A66" s="2" t="str">
        <v>-</v>
      </c>
      <c r="B66" s="2" t="str">
        <v>-</v>
      </c>
      <c r="C66" s="2" t="str">
        <v>NO</v>
      </c>
    </row>
    <row r="67" spans="1:3" hidden="1" x14ac:dyDescent="0.35">
      <c r="A67" s="2" t="str">
        <v>-</v>
      </c>
      <c r="B67" s="2" t="str">
        <v>-</v>
      </c>
      <c r="C67" s="2" t="str">
        <v>NO</v>
      </c>
    </row>
    <row r="68" spans="1:3" hidden="1" x14ac:dyDescent="0.35">
      <c r="A68" s="2" t="str">
        <v>-</v>
      </c>
      <c r="B68" s="2" t="str">
        <v>-</v>
      </c>
      <c r="C68" s="2" t="str">
        <v>NO</v>
      </c>
    </row>
    <row r="69" spans="1:3" hidden="1" x14ac:dyDescent="0.35">
      <c r="A69" s="2" t="str">
        <v>-</v>
      </c>
      <c r="B69" s="2" t="str">
        <v>-</v>
      </c>
      <c r="C69" s="2" t="str">
        <v>NO</v>
      </c>
    </row>
    <row r="70" spans="1:3" hidden="1" x14ac:dyDescent="0.35">
      <c r="A70" s="2" t="str">
        <v>-</v>
      </c>
      <c r="B70" s="2" t="str">
        <v>-</v>
      </c>
      <c r="C70" s="2" t="str">
        <v>NO</v>
      </c>
    </row>
    <row r="71" spans="1:3" x14ac:dyDescent="0.35">
      <c r="A71" s="2">
        <v>40</v>
      </c>
      <c r="B71" s="2">
        <v>2</v>
      </c>
      <c r="C71" s="2" t="str">
        <v>SI</v>
      </c>
    </row>
    <row r="72" spans="1:3" hidden="1" x14ac:dyDescent="0.35">
      <c r="A72" s="2" t="str">
        <v>-</v>
      </c>
      <c r="B72" s="2" t="str">
        <v>-</v>
      </c>
      <c r="C72" s="2" t="str">
        <v>NO</v>
      </c>
    </row>
    <row r="73" spans="1:3" hidden="1" x14ac:dyDescent="0.35">
      <c r="A73" s="2" t="str">
        <v>-</v>
      </c>
      <c r="B73" s="2" t="str">
        <v>-</v>
      </c>
      <c r="C73" s="2" t="str">
        <v>NO</v>
      </c>
    </row>
    <row r="74" spans="1:3" x14ac:dyDescent="0.35">
      <c r="A74" s="2">
        <v>49</v>
      </c>
      <c r="B74" s="2">
        <v>2</v>
      </c>
      <c r="C74" s="2" t="str">
        <v>SI</v>
      </c>
    </row>
    <row r="75" spans="1:3" hidden="1" x14ac:dyDescent="0.35">
      <c r="A75" s="2" t="str">
        <v>-</v>
      </c>
      <c r="B75" s="2" t="str">
        <v>-</v>
      </c>
      <c r="C75" s="2" t="str">
        <v>NO</v>
      </c>
    </row>
    <row r="76" spans="1:3" hidden="1" x14ac:dyDescent="0.35">
      <c r="A76" s="2" t="str">
        <v>-</v>
      </c>
      <c r="B76" s="2" t="str">
        <v>-</v>
      </c>
      <c r="C76" s="2" t="str">
        <v>NO</v>
      </c>
    </row>
    <row r="77" spans="1:3" hidden="1" x14ac:dyDescent="0.35">
      <c r="A77" s="2" t="str">
        <v>-</v>
      </c>
      <c r="B77" s="2" t="str">
        <v>-</v>
      </c>
      <c r="C77" s="2" t="str">
        <v>NO</v>
      </c>
    </row>
    <row r="78" spans="1:3" hidden="1" x14ac:dyDescent="0.35">
      <c r="A78" s="2" t="str">
        <v>-</v>
      </c>
      <c r="B78" s="2" t="str">
        <v>-</v>
      </c>
      <c r="C78" s="2" t="str">
        <v>NO</v>
      </c>
    </row>
    <row r="79" spans="1:3" x14ac:dyDescent="0.35">
      <c r="A79" s="2">
        <v>55</v>
      </c>
      <c r="B79" s="2">
        <v>2</v>
      </c>
      <c r="C79" s="2" t="str">
        <v>SI</v>
      </c>
    </row>
    <row r="80" spans="1:3" x14ac:dyDescent="0.35">
      <c r="A80" s="2">
        <v>55</v>
      </c>
      <c r="B80" s="2">
        <v>2</v>
      </c>
      <c r="C80" s="2" t="str">
        <v>SI</v>
      </c>
    </row>
    <row r="81" spans="1:3" hidden="1" x14ac:dyDescent="0.35">
      <c r="A81" s="2" t="str">
        <v>-</v>
      </c>
      <c r="B81" s="2" t="str">
        <v>-</v>
      </c>
      <c r="C81" s="2" t="str">
        <v>NO</v>
      </c>
    </row>
    <row r="82" spans="1:3" hidden="1" x14ac:dyDescent="0.35">
      <c r="A82" s="2" t="str">
        <v>-</v>
      </c>
      <c r="B82" s="2" t="str">
        <v>-</v>
      </c>
      <c r="C82" s="2" t="str">
        <v>NO</v>
      </c>
    </row>
    <row r="83" spans="1:3" x14ac:dyDescent="0.35">
      <c r="A83" s="2">
        <v>45</v>
      </c>
      <c r="B83" s="2">
        <v>2</v>
      </c>
      <c r="C83" s="2" t="str">
        <v>SI</v>
      </c>
    </row>
    <row r="84" spans="1:3" hidden="1" x14ac:dyDescent="0.35">
      <c r="A84" s="2" t="str">
        <v>-</v>
      </c>
      <c r="B84" s="2" t="str">
        <v>-</v>
      </c>
      <c r="C84" s="2" t="str">
        <v>NO</v>
      </c>
    </row>
    <row r="85" spans="1:3" hidden="1" x14ac:dyDescent="0.35">
      <c r="A85" s="2" t="str">
        <v>-</v>
      </c>
      <c r="B85" s="2" t="str">
        <v>-</v>
      </c>
      <c r="C85" s="2" t="str">
        <v>NO</v>
      </c>
    </row>
    <row r="86" spans="1:3" x14ac:dyDescent="0.35">
      <c r="A86" s="2">
        <v>45</v>
      </c>
      <c r="B86" s="2">
        <v>2</v>
      </c>
      <c r="C86" s="2" t="str">
        <v>SI</v>
      </c>
    </row>
    <row r="87" spans="1:3" hidden="1" x14ac:dyDescent="0.35">
      <c r="A87" s="2" t="str">
        <v>-</v>
      </c>
      <c r="B87" s="2" t="str">
        <v>-</v>
      </c>
      <c r="C87" s="2" t="str">
        <v>NO</v>
      </c>
    </row>
    <row r="88" spans="1:3" x14ac:dyDescent="0.35">
      <c r="A88" s="2">
        <v>25</v>
      </c>
      <c r="B88" s="2">
        <v>2</v>
      </c>
      <c r="C88" s="2" t="str">
        <v>SI</v>
      </c>
    </row>
    <row r="89" spans="1:3" hidden="1" x14ac:dyDescent="0.35">
      <c r="A89" s="2" t="str">
        <v>-</v>
      </c>
      <c r="B89" s="2" t="str">
        <v>-</v>
      </c>
      <c r="C89" s="2" t="str">
        <v>NO</v>
      </c>
    </row>
    <row r="90" spans="1:3" hidden="1" x14ac:dyDescent="0.35">
      <c r="A90" s="2" t="str">
        <v>-</v>
      </c>
      <c r="B90" s="2" t="str">
        <v>-</v>
      </c>
      <c r="C90" s="2" t="str">
        <v>NO</v>
      </c>
    </row>
    <row r="91" spans="1:3" hidden="1" x14ac:dyDescent="0.35">
      <c r="A91" s="2" t="str">
        <v>-</v>
      </c>
      <c r="B91" s="2" t="str">
        <v>-</v>
      </c>
      <c r="C91" s="2" t="str">
        <v>NO</v>
      </c>
    </row>
    <row r="92" spans="1:3" hidden="1" x14ac:dyDescent="0.35">
      <c r="A92" s="2" t="str">
        <v>-</v>
      </c>
      <c r="B92" s="2" t="str">
        <v>-</v>
      </c>
      <c r="C92" s="2" t="str">
        <v>NO</v>
      </c>
    </row>
    <row r="93" spans="1:3" x14ac:dyDescent="0.35">
      <c r="A93" s="2">
        <v>37</v>
      </c>
      <c r="B93" s="2">
        <v>2</v>
      </c>
      <c r="C93" s="2" t="str">
        <v>SI</v>
      </c>
    </row>
    <row r="94" spans="1:3" hidden="1" x14ac:dyDescent="0.35">
      <c r="A94" s="2" t="str">
        <v>-</v>
      </c>
      <c r="B94" s="2" t="str">
        <v>-</v>
      </c>
      <c r="C94" s="2" t="str">
        <v>NO</v>
      </c>
    </row>
    <row r="95" spans="1:3" hidden="1" x14ac:dyDescent="0.35">
      <c r="A95" s="2" t="str">
        <v>-</v>
      </c>
      <c r="B95" s="2" t="str">
        <v>-</v>
      </c>
      <c r="C95" s="2" t="str">
        <v>NO</v>
      </c>
    </row>
    <row r="96" spans="1:3" hidden="1" x14ac:dyDescent="0.35">
      <c r="A96" s="2" t="str">
        <v>-</v>
      </c>
      <c r="B96" s="2" t="str">
        <v>-</v>
      </c>
      <c r="C96" s="2" t="str">
        <v>NO</v>
      </c>
    </row>
    <row r="97" spans="1:3" hidden="1" x14ac:dyDescent="0.35">
      <c r="A97" s="2" t="str">
        <v>-</v>
      </c>
      <c r="B97" s="2" t="str">
        <v>-</v>
      </c>
      <c r="C97" s="2" t="str">
        <v>NO</v>
      </c>
    </row>
    <row r="98" spans="1:3" hidden="1" x14ac:dyDescent="0.35">
      <c r="A98" s="2" t="str">
        <v>-</v>
      </c>
      <c r="B98" s="2" t="str">
        <v>-</v>
      </c>
      <c r="C98" s="2" t="str">
        <v>NO</v>
      </c>
    </row>
    <row r="99" spans="1:3" hidden="1" x14ac:dyDescent="0.35">
      <c r="A99" s="2" t="str">
        <v>-</v>
      </c>
      <c r="B99" s="2" t="str">
        <v>-</v>
      </c>
      <c r="C99" s="2" t="str">
        <v>NO</v>
      </c>
    </row>
    <row r="100" spans="1:3" hidden="1" x14ac:dyDescent="0.35">
      <c r="A100" s="2" t="str">
        <v>-</v>
      </c>
      <c r="B100" s="2" t="str">
        <v>-</v>
      </c>
      <c r="C100" s="2" t="str">
        <v>NO</v>
      </c>
    </row>
    <row r="101" spans="1:3" hidden="1" x14ac:dyDescent="0.35">
      <c r="A101" s="2" t="str">
        <v>-</v>
      </c>
      <c r="B101" s="2" t="str">
        <v>-</v>
      </c>
      <c r="C101" s="2" t="str">
        <v>NO</v>
      </c>
    </row>
    <row r="102" spans="1:3" hidden="1" x14ac:dyDescent="0.35">
      <c r="A102" s="2" t="str">
        <v>-</v>
      </c>
      <c r="B102" s="2" t="str">
        <v>-</v>
      </c>
      <c r="C102" s="2" t="str">
        <v>NO</v>
      </c>
    </row>
    <row r="103" spans="1:3" x14ac:dyDescent="0.35">
      <c r="A103" s="2">
        <v>50</v>
      </c>
      <c r="B103" s="2">
        <v>2</v>
      </c>
      <c r="C103" s="2" t="str">
        <v>SI</v>
      </c>
    </row>
    <row r="104" spans="1:3" x14ac:dyDescent="0.35">
      <c r="A104" s="2">
        <v>30</v>
      </c>
      <c r="B104" s="2">
        <v>2</v>
      </c>
      <c r="C104" s="2" t="str">
        <v>SI</v>
      </c>
    </row>
    <row r="105" spans="1:3" hidden="1" x14ac:dyDescent="0.35">
      <c r="A105" s="2" t="str">
        <v>-</v>
      </c>
      <c r="B105" s="2" t="str">
        <v>-</v>
      </c>
      <c r="C105" s="2" t="str">
        <v>NO</v>
      </c>
    </row>
    <row r="106" spans="1:3" x14ac:dyDescent="0.35">
      <c r="A106" s="2">
        <v>52</v>
      </c>
      <c r="B106" s="2">
        <v>2</v>
      </c>
      <c r="C106" s="2" t="str">
        <v>SI</v>
      </c>
    </row>
    <row r="107" spans="1:3" x14ac:dyDescent="0.35">
      <c r="A107" s="2">
        <v>43</v>
      </c>
      <c r="B107" s="2">
        <v>2</v>
      </c>
      <c r="C107" s="2" t="str">
        <v>SI</v>
      </c>
    </row>
    <row r="108" spans="1:3" x14ac:dyDescent="0.35">
      <c r="A108" s="2">
        <v>59</v>
      </c>
      <c r="B108" s="2">
        <v>2</v>
      </c>
      <c r="C108" s="2" t="str">
        <v>SI</v>
      </c>
    </row>
    <row r="109" spans="1:3" x14ac:dyDescent="0.35">
      <c r="A109" s="2">
        <v>39</v>
      </c>
      <c r="B109" s="2">
        <v>2</v>
      </c>
      <c r="C109" s="2" t="str">
        <v>SI</v>
      </c>
    </row>
    <row r="110" spans="1:3" hidden="1" x14ac:dyDescent="0.35">
      <c r="A110" s="2" t="str">
        <v>-</v>
      </c>
      <c r="B110" s="2" t="str">
        <v>-</v>
      </c>
      <c r="C110" s="2" t="str">
        <v>NO</v>
      </c>
    </row>
    <row r="111" spans="1:3" hidden="1" x14ac:dyDescent="0.35">
      <c r="A111" s="2" t="str">
        <v>-</v>
      </c>
      <c r="B111" s="2" t="str">
        <v>-</v>
      </c>
      <c r="C111" s="2" t="str">
        <v>NO</v>
      </c>
    </row>
    <row r="112" spans="1:3" x14ac:dyDescent="0.35">
      <c r="A112" s="2">
        <v>25</v>
      </c>
      <c r="B112" s="2">
        <v>2</v>
      </c>
      <c r="C112" s="2" t="str">
        <v>SI</v>
      </c>
    </row>
    <row r="113" spans="1:3" hidden="1" x14ac:dyDescent="0.35">
      <c r="A113" s="2" t="str">
        <v>-</v>
      </c>
      <c r="B113" s="2" t="str">
        <v>-</v>
      </c>
      <c r="C113" s="2" t="str">
        <v>NO</v>
      </c>
    </row>
    <row r="114" spans="1:3" x14ac:dyDescent="0.35">
      <c r="A114" s="2">
        <v>55</v>
      </c>
      <c r="B114" s="2">
        <v>2</v>
      </c>
      <c r="C114" s="2" t="str">
        <v>SI</v>
      </c>
    </row>
    <row r="115" spans="1:3" hidden="1" x14ac:dyDescent="0.35">
      <c r="A115" s="2" t="str">
        <v>-</v>
      </c>
      <c r="B115" s="2" t="str">
        <v>-</v>
      </c>
      <c r="C115" s="2" t="str">
        <v>NO</v>
      </c>
    </row>
    <row r="116" spans="1:3" hidden="1" x14ac:dyDescent="0.35">
      <c r="A116" s="2" t="str">
        <v>-</v>
      </c>
      <c r="B116" s="2" t="str">
        <v>-</v>
      </c>
      <c r="C116" s="2" t="str">
        <v>NO</v>
      </c>
    </row>
    <row r="117" spans="1:3" hidden="1" x14ac:dyDescent="0.35">
      <c r="A117" s="2" t="str">
        <v>-</v>
      </c>
      <c r="B117" s="2" t="str">
        <v>-</v>
      </c>
      <c r="C117" s="2" t="str">
        <v>NO</v>
      </c>
    </row>
    <row r="118" spans="1:3" hidden="1" x14ac:dyDescent="0.35">
      <c r="A118" s="2" t="str">
        <v>-</v>
      </c>
      <c r="B118" s="2" t="str">
        <v>-</v>
      </c>
      <c r="C118" s="2" t="str">
        <v>NO</v>
      </c>
    </row>
    <row r="119" spans="1:3" hidden="1" x14ac:dyDescent="0.35">
      <c r="A119" s="2" t="str">
        <v>-</v>
      </c>
      <c r="B119" s="2" t="str">
        <v>-</v>
      </c>
      <c r="C119" s="2" t="str">
        <v>NO</v>
      </c>
    </row>
    <row r="120" spans="1:3" hidden="1" x14ac:dyDescent="0.35">
      <c r="A120" s="2" t="str">
        <v>-</v>
      </c>
      <c r="B120" s="2" t="str">
        <v>-</v>
      </c>
      <c r="C120" s="2" t="str">
        <v>NO</v>
      </c>
    </row>
    <row r="121" spans="1:3" hidden="1" x14ac:dyDescent="0.35">
      <c r="A121" s="2" t="str">
        <v>-</v>
      </c>
      <c r="B121" s="2" t="str">
        <v>-</v>
      </c>
      <c r="C121" s="2" t="str">
        <v>NO</v>
      </c>
    </row>
    <row r="122" spans="1:3" hidden="1" x14ac:dyDescent="0.35">
      <c r="A122" s="2" t="str">
        <v>-</v>
      </c>
      <c r="B122" s="2" t="str">
        <v>-</v>
      </c>
      <c r="C122" s="2" t="str">
        <v>NO</v>
      </c>
    </row>
    <row r="123" spans="1:3" hidden="1" x14ac:dyDescent="0.35">
      <c r="A123" s="2" t="str">
        <v>-</v>
      </c>
      <c r="B123" s="2" t="str">
        <v>-</v>
      </c>
      <c r="C123" s="2" t="str">
        <v>NO</v>
      </c>
    </row>
    <row r="124" spans="1:3" hidden="1" x14ac:dyDescent="0.35">
      <c r="A124" s="2" t="str">
        <v>-</v>
      </c>
      <c r="B124" s="2" t="str">
        <v>-</v>
      </c>
      <c r="C124" s="2" t="str">
        <v>NO</v>
      </c>
    </row>
    <row r="125" spans="1:3" x14ac:dyDescent="0.35">
      <c r="A125" s="2">
        <v>27</v>
      </c>
      <c r="B125" s="2">
        <v>2</v>
      </c>
      <c r="C125" s="2" t="str">
        <v>SI</v>
      </c>
    </row>
    <row r="126" spans="1:3" x14ac:dyDescent="0.35">
      <c r="A126" s="2">
        <v>43</v>
      </c>
      <c r="B126" s="2">
        <v>2</v>
      </c>
      <c r="C126" s="2" t="str">
        <v>SI</v>
      </c>
    </row>
    <row r="127" spans="1:3" x14ac:dyDescent="0.35">
      <c r="A127" s="2">
        <v>47</v>
      </c>
      <c r="B127" s="2">
        <v>2</v>
      </c>
      <c r="C127" s="2" t="str">
        <v>SI</v>
      </c>
    </row>
    <row r="128" spans="1:3" hidden="1" x14ac:dyDescent="0.35">
      <c r="A128" s="2" t="str">
        <v>-</v>
      </c>
      <c r="B128" s="2" t="str">
        <v>-</v>
      </c>
      <c r="C128" s="2" t="str">
        <v>NO</v>
      </c>
    </row>
    <row r="129" spans="1:3" hidden="1" x14ac:dyDescent="0.35">
      <c r="A129" s="2" t="str">
        <v>-</v>
      </c>
      <c r="B129" s="2" t="str">
        <v>-</v>
      </c>
      <c r="C129" s="2" t="str">
        <v>NO</v>
      </c>
    </row>
    <row r="130" spans="1:3" hidden="1" x14ac:dyDescent="0.35">
      <c r="A130" s="2" t="str">
        <v>-</v>
      </c>
      <c r="B130" s="2" t="str">
        <v>-</v>
      </c>
      <c r="C130" s="2" t="str">
        <v>NO</v>
      </c>
    </row>
    <row r="131" spans="1:3" hidden="1" x14ac:dyDescent="0.35">
      <c r="A131" s="2" t="str">
        <v>-</v>
      </c>
      <c r="B131" s="2" t="str">
        <v>-</v>
      </c>
      <c r="C131" s="2" t="str">
        <v>NO</v>
      </c>
    </row>
    <row r="132" spans="1:3" hidden="1" x14ac:dyDescent="0.35">
      <c r="A132" s="2" t="str">
        <v>-</v>
      </c>
      <c r="B132" s="2" t="str">
        <v>-</v>
      </c>
      <c r="C132" s="2" t="str">
        <v>NO</v>
      </c>
    </row>
    <row r="133" spans="1:3" hidden="1" x14ac:dyDescent="0.35">
      <c r="A133" s="2" t="str">
        <v>-</v>
      </c>
      <c r="B133" s="2" t="str">
        <v>-</v>
      </c>
      <c r="C133" s="2" t="str">
        <v>NO</v>
      </c>
    </row>
    <row r="134" spans="1:3" hidden="1" x14ac:dyDescent="0.35">
      <c r="A134" s="2" t="str">
        <v>-</v>
      </c>
      <c r="B134" s="2" t="str">
        <v>-</v>
      </c>
      <c r="C134" s="2" t="str">
        <v>NO</v>
      </c>
    </row>
    <row r="135" spans="1:3" hidden="1" x14ac:dyDescent="0.35">
      <c r="A135" s="2" t="str">
        <v>-</v>
      </c>
      <c r="B135" s="2" t="str">
        <v>-</v>
      </c>
      <c r="C135" s="2" t="str">
        <v>NO</v>
      </c>
    </row>
    <row r="136" spans="1:3" hidden="1" x14ac:dyDescent="0.35">
      <c r="A136" s="2" t="str">
        <v>-</v>
      </c>
      <c r="B136" s="2" t="str">
        <v>-</v>
      </c>
      <c r="C136" s="2" t="str">
        <v>NO</v>
      </c>
    </row>
    <row r="137" spans="1:3" x14ac:dyDescent="0.35">
      <c r="A137" s="2">
        <v>64</v>
      </c>
      <c r="B137" s="2">
        <v>2</v>
      </c>
      <c r="C137" s="2" t="str">
        <v>SI</v>
      </c>
    </row>
    <row r="138" spans="1:3" hidden="1" x14ac:dyDescent="0.35">
      <c r="A138" s="2" t="str">
        <v>-</v>
      </c>
      <c r="B138" s="2" t="str">
        <v>-</v>
      </c>
      <c r="C138" s="2" t="str">
        <v>NO</v>
      </c>
    </row>
    <row r="139" spans="1:3" hidden="1" x14ac:dyDescent="0.35">
      <c r="A139" s="2" t="str">
        <v>-</v>
      </c>
      <c r="B139" s="2" t="str">
        <v>-</v>
      </c>
      <c r="C139" s="2" t="str">
        <v>NO</v>
      </c>
    </row>
    <row r="140" spans="1:3" x14ac:dyDescent="0.35">
      <c r="A140" s="2">
        <v>58</v>
      </c>
      <c r="B140" s="2">
        <v>2</v>
      </c>
      <c r="C140" s="2" t="str">
        <v>SI</v>
      </c>
    </row>
    <row r="141" spans="1:3" hidden="1" x14ac:dyDescent="0.35">
      <c r="A141" s="2" t="str">
        <v>-</v>
      </c>
      <c r="B141" s="2" t="str">
        <v>-</v>
      </c>
      <c r="C141" s="2" t="str">
        <v>NO</v>
      </c>
    </row>
    <row r="142" spans="1:3" hidden="1" x14ac:dyDescent="0.35">
      <c r="A142" s="2" t="str">
        <v>-</v>
      </c>
      <c r="B142" s="2" t="str">
        <v>-</v>
      </c>
      <c r="C142" s="2" t="str">
        <v>NO</v>
      </c>
    </row>
    <row r="143" spans="1:3" hidden="1" x14ac:dyDescent="0.35">
      <c r="A143" s="2" t="str">
        <v>-</v>
      </c>
      <c r="B143" s="2" t="str">
        <v>-</v>
      </c>
      <c r="C143" s="2" t="str">
        <v>NO</v>
      </c>
    </row>
    <row r="144" spans="1:3" hidden="1" x14ac:dyDescent="0.35">
      <c r="A144" s="2" t="str">
        <v>-</v>
      </c>
      <c r="B144" s="2" t="str">
        <v>-</v>
      </c>
      <c r="C144" s="2" t="str">
        <v>NO</v>
      </c>
    </row>
    <row r="145" spans="1:3" hidden="1" x14ac:dyDescent="0.35">
      <c r="A145" s="2" t="str">
        <v>-</v>
      </c>
      <c r="B145" s="2" t="str">
        <v>-</v>
      </c>
      <c r="C145" s="2" t="str">
        <v>NO</v>
      </c>
    </row>
    <row r="146" spans="1:3" x14ac:dyDescent="0.35">
      <c r="A146" s="2">
        <v>33</v>
      </c>
      <c r="B146" s="2">
        <v>2</v>
      </c>
      <c r="C146" s="2" t="str">
        <v>SI</v>
      </c>
    </row>
    <row r="147" spans="1:3" hidden="1" x14ac:dyDescent="0.35">
      <c r="A147" s="2" t="str">
        <v>-</v>
      </c>
      <c r="B147" s="2" t="str">
        <v>-</v>
      </c>
      <c r="C147" s="2" t="str">
        <v>NO</v>
      </c>
    </row>
    <row r="148" spans="1:3" x14ac:dyDescent="0.35">
      <c r="A148" s="2">
        <v>56</v>
      </c>
      <c r="B148" s="2">
        <v>2</v>
      </c>
      <c r="C148" s="2" t="str">
        <v>SI</v>
      </c>
    </row>
    <row r="149" spans="1:3" hidden="1" x14ac:dyDescent="0.35">
      <c r="A149" s="2" t="str">
        <v>-</v>
      </c>
      <c r="B149" s="2" t="str">
        <v>-</v>
      </c>
      <c r="C149" s="2" t="str">
        <v>NO</v>
      </c>
    </row>
    <row r="150" spans="1:3" hidden="1" x14ac:dyDescent="0.35">
      <c r="A150" s="2" t="str">
        <v>-</v>
      </c>
      <c r="B150" s="2" t="str">
        <v>-</v>
      </c>
      <c r="C150" s="2" t="str">
        <v>NO</v>
      </c>
    </row>
    <row r="151" spans="1:3" x14ac:dyDescent="0.35">
      <c r="A151" s="2">
        <v>46</v>
      </c>
      <c r="B151" s="2">
        <v>2</v>
      </c>
      <c r="C151" s="2" t="str">
        <v>SI</v>
      </c>
    </row>
    <row r="152" spans="1:3" hidden="1" x14ac:dyDescent="0.35">
      <c r="A152" s="2" t="str">
        <v>-</v>
      </c>
      <c r="B152" s="2" t="str">
        <v>-</v>
      </c>
      <c r="C152" s="2" t="str">
        <v>NO</v>
      </c>
    </row>
    <row r="153" spans="1:3" hidden="1" x14ac:dyDescent="0.35">
      <c r="A153" s="2" t="str">
        <v>-</v>
      </c>
      <c r="B153" s="2" t="str">
        <v>-</v>
      </c>
      <c r="C153" s="2" t="str">
        <v>NO</v>
      </c>
    </row>
    <row r="154" spans="1:3" x14ac:dyDescent="0.35">
      <c r="A154" s="2">
        <v>22</v>
      </c>
      <c r="B154" s="2">
        <v>2</v>
      </c>
      <c r="C154" s="2" t="str">
        <v>SI</v>
      </c>
    </row>
    <row r="155" spans="1:3" hidden="1" x14ac:dyDescent="0.35">
      <c r="A155" s="2" t="str">
        <v>-</v>
      </c>
      <c r="B155" s="2" t="str">
        <v>-</v>
      </c>
      <c r="C155" s="2" t="str">
        <v>NO</v>
      </c>
    </row>
    <row r="156" spans="1:3" x14ac:dyDescent="0.35">
      <c r="A156" s="2">
        <v>41</v>
      </c>
      <c r="B156" s="2">
        <v>2</v>
      </c>
      <c r="C156" s="2" t="str">
        <v>SI</v>
      </c>
    </row>
    <row r="157" spans="1:3" hidden="1" x14ac:dyDescent="0.35">
      <c r="A157" s="2" t="str">
        <v>-</v>
      </c>
      <c r="B157" s="2" t="str">
        <v>-</v>
      </c>
      <c r="C157" s="2" t="str">
        <v>NO</v>
      </c>
    </row>
    <row r="158" spans="1:3" x14ac:dyDescent="0.35">
      <c r="A158" s="2">
        <v>37</v>
      </c>
      <c r="B158" s="2">
        <v>2</v>
      </c>
      <c r="C158" s="2" t="str">
        <v>SI</v>
      </c>
    </row>
    <row r="159" spans="1:3" hidden="1" x14ac:dyDescent="0.35">
      <c r="A159" s="2" t="str">
        <v>-</v>
      </c>
      <c r="B159" s="2" t="str">
        <v>-</v>
      </c>
      <c r="C159" s="2" t="str">
        <v>NO</v>
      </c>
    </row>
    <row r="160" spans="1:3" hidden="1" x14ac:dyDescent="0.35">
      <c r="A160" s="2" t="str">
        <v>-</v>
      </c>
      <c r="B160" s="2" t="str">
        <v>-</v>
      </c>
      <c r="C160" s="2" t="str">
        <v>NO</v>
      </c>
    </row>
    <row r="161" spans="1:3" hidden="1" x14ac:dyDescent="0.35">
      <c r="A161" s="2" t="str">
        <v>-</v>
      </c>
      <c r="B161" s="2" t="str">
        <v>-</v>
      </c>
      <c r="C161" s="2" t="str">
        <v>NO</v>
      </c>
    </row>
    <row r="162" spans="1:3" hidden="1" x14ac:dyDescent="0.35">
      <c r="A162" s="2" t="str">
        <v>-</v>
      </c>
      <c r="B162" s="2" t="str">
        <v>-</v>
      </c>
      <c r="C162" s="2" t="str">
        <v>NO</v>
      </c>
    </row>
    <row r="163" spans="1:3" hidden="1" x14ac:dyDescent="0.35">
      <c r="A163" s="2" t="str">
        <v>-</v>
      </c>
      <c r="B163" s="2" t="str">
        <v>-</v>
      </c>
      <c r="C163" s="2" t="str">
        <v>NO</v>
      </c>
    </row>
    <row r="164" spans="1:3" hidden="1" x14ac:dyDescent="0.35">
      <c r="A164" s="2" t="str">
        <v>-</v>
      </c>
      <c r="B164" s="2" t="str">
        <v>-</v>
      </c>
      <c r="C164" s="2" t="str">
        <v>NO</v>
      </c>
    </row>
    <row r="165" spans="1:3" x14ac:dyDescent="0.35">
      <c r="A165" s="2">
        <v>43</v>
      </c>
      <c r="B165" s="2">
        <v>2</v>
      </c>
      <c r="C165" s="2" t="str">
        <v>SI</v>
      </c>
    </row>
    <row r="166" spans="1:3" hidden="1" x14ac:dyDescent="0.35">
      <c r="A166" s="2" t="str">
        <v>-</v>
      </c>
      <c r="B166" s="2" t="str">
        <v>-</v>
      </c>
      <c r="C166" s="2" t="str">
        <v>NO</v>
      </c>
    </row>
    <row r="167" spans="1:3" x14ac:dyDescent="0.35">
      <c r="A167" s="2">
        <v>46</v>
      </c>
      <c r="B167" s="2">
        <v>2</v>
      </c>
      <c r="C167" s="2" t="str">
        <v>SI</v>
      </c>
    </row>
    <row r="168" spans="1:3" hidden="1" x14ac:dyDescent="0.35">
      <c r="A168" s="2" t="str">
        <v>-</v>
      </c>
      <c r="B168" s="2" t="str">
        <v>-</v>
      </c>
      <c r="C168" s="2" t="str">
        <v>NO</v>
      </c>
    </row>
    <row r="169" spans="1:3" hidden="1" x14ac:dyDescent="0.35">
      <c r="A169" s="2" t="str">
        <v>-</v>
      </c>
      <c r="B169" s="2" t="str">
        <v>-</v>
      </c>
      <c r="C169" s="2" t="str">
        <v>NO</v>
      </c>
    </row>
    <row r="170" spans="1:3" hidden="1" x14ac:dyDescent="0.35">
      <c r="A170" s="2" t="str">
        <v>-</v>
      </c>
      <c r="B170" s="2" t="str">
        <v>-</v>
      </c>
      <c r="C170" s="2" t="str">
        <v>NO</v>
      </c>
    </row>
    <row r="171" spans="1:3" hidden="1" x14ac:dyDescent="0.35">
      <c r="A171" s="2" t="str">
        <v>-</v>
      </c>
      <c r="B171" s="2" t="str">
        <v>-</v>
      </c>
      <c r="C171" s="2" t="str">
        <v>NO</v>
      </c>
    </row>
    <row r="172" spans="1:3" hidden="1" x14ac:dyDescent="0.35">
      <c r="A172" s="2" t="str">
        <v>-</v>
      </c>
      <c r="B172" s="2" t="str">
        <v>-</v>
      </c>
      <c r="C172" s="2" t="str">
        <v>NO</v>
      </c>
    </row>
    <row r="173" spans="1:3" x14ac:dyDescent="0.35">
      <c r="A173" s="2">
        <v>46</v>
      </c>
      <c r="B173" s="2">
        <v>2</v>
      </c>
      <c r="C173" s="2" t="str">
        <v>SI</v>
      </c>
    </row>
    <row r="174" spans="1:3" x14ac:dyDescent="0.35">
      <c r="A174" s="2">
        <v>60</v>
      </c>
      <c r="B174" s="2">
        <v>2</v>
      </c>
      <c r="C174" s="2" t="str">
        <v>SI</v>
      </c>
    </row>
    <row r="175" spans="1:3" hidden="1" x14ac:dyDescent="0.35">
      <c r="A175" s="2" t="str">
        <v>-</v>
      </c>
      <c r="B175" s="2" t="str">
        <v>-</v>
      </c>
      <c r="C175" s="2" t="str">
        <v>NO</v>
      </c>
    </row>
    <row r="176" spans="1:3" hidden="1" x14ac:dyDescent="0.35">
      <c r="A176" s="2" t="str">
        <v>-</v>
      </c>
      <c r="B176" s="2" t="str">
        <v>-</v>
      </c>
      <c r="C176" s="2" t="str">
        <v>NO</v>
      </c>
    </row>
    <row r="177" spans="1:3" x14ac:dyDescent="0.35">
      <c r="A177" s="2">
        <v>41</v>
      </c>
      <c r="B177" s="2">
        <v>2</v>
      </c>
      <c r="C177" s="2" t="str">
        <v>SI</v>
      </c>
    </row>
    <row r="178" spans="1:3" hidden="1" x14ac:dyDescent="0.35">
      <c r="A178" s="2" t="str">
        <v>-</v>
      </c>
      <c r="B178" s="2" t="str">
        <v>-</v>
      </c>
      <c r="C178" s="2" t="str">
        <v>NO</v>
      </c>
    </row>
    <row r="179" spans="1:3" x14ac:dyDescent="0.35">
      <c r="A179" s="2">
        <v>30</v>
      </c>
      <c r="B179" s="2">
        <v>2</v>
      </c>
      <c r="C179" s="2" t="str">
        <v>SI</v>
      </c>
    </row>
    <row r="180" spans="1:3" hidden="1" x14ac:dyDescent="0.35">
      <c r="A180" s="2" t="str">
        <v>-</v>
      </c>
      <c r="B180" s="2" t="str">
        <v>-</v>
      </c>
      <c r="C180" s="2" t="str">
        <v>NO</v>
      </c>
    </row>
    <row r="181" spans="1:3" hidden="1" x14ac:dyDescent="0.35">
      <c r="A181" s="2" t="str">
        <v>-</v>
      </c>
      <c r="B181" s="2" t="str">
        <v>-</v>
      </c>
      <c r="C181" s="2" t="str">
        <v>NO</v>
      </c>
    </row>
    <row r="182" spans="1:3" hidden="1" x14ac:dyDescent="0.35">
      <c r="A182" s="2" t="str">
        <v>-</v>
      </c>
      <c r="B182" s="2" t="str">
        <v>-</v>
      </c>
      <c r="C182" s="2" t="str">
        <v>NO</v>
      </c>
    </row>
    <row r="183" spans="1:3" x14ac:dyDescent="0.35">
      <c r="A183" s="2">
        <v>33</v>
      </c>
      <c r="B183" s="2">
        <v>2</v>
      </c>
      <c r="C183" s="2" t="str">
        <v>SI</v>
      </c>
    </row>
    <row r="184" spans="1:3" hidden="1" x14ac:dyDescent="0.35">
      <c r="A184" s="2" t="str">
        <v>-</v>
      </c>
      <c r="B184" s="2" t="str">
        <v>-</v>
      </c>
      <c r="C184" s="2" t="str">
        <v>NO</v>
      </c>
    </row>
    <row r="185" spans="1:3" hidden="1" x14ac:dyDescent="0.35">
      <c r="A185" s="2" t="str">
        <v>-</v>
      </c>
      <c r="B185" s="2" t="str">
        <v>-</v>
      </c>
      <c r="C185" s="2" t="str">
        <v>NO</v>
      </c>
    </row>
    <row r="186" spans="1:3" hidden="1" x14ac:dyDescent="0.35">
      <c r="A186" s="2" t="str">
        <v>-</v>
      </c>
      <c r="B186" s="2" t="str">
        <v>-</v>
      </c>
      <c r="C186" s="2" t="str">
        <v>NO</v>
      </c>
    </row>
    <row r="187" spans="1:3" x14ac:dyDescent="0.35">
      <c r="A187" s="2">
        <v>47</v>
      </c>
      <c r="B187" s="2">
        <v>2</v>
      </c>
      <c r="C187" s="2" t="str">
        <v>SI</v>
      </c>
    </row>
    <row r="188" spans="1:3" hidden="1" x14ac:dyDescent="0.35">
      <c r="A188" s="2" t="str">
        <v>-</v>
      </c>
      <c r="B188" s="2" t="str">
        <v>-</v>
      </c>
      <c r="C188" s="2" t="str">
        <v>NO</v>
      </c>
    </row>
    <row r="189" spans="1:3" x14ac:dyDescent="0.35">
      <c r="A189" s="2">
        <v>41</v>
      </c>
      <c r="B189" s="2">
        <v>2</v>
      </c>
      <c r="C189" s="2" t="str">
        <v>SI</v>
      </c>
    </row>
    <row r="190" spans="1:3" x14ac:dyDescent="0.35">
      <c r="A190" s="2">
        <v>46</v>
      </c>
      <c r="B190" s="2">
        <v>2</v>
      </c>
      <c r="C190" s="2" t="str">
        <v>SI</v>
      </c>
    </row>
    <row r="191" spans="1:3" hidden="1" x14ac:dyDescent="0.35">
      <c r="A191" s="2" t="str">
        <v>-</v>
      </c>
      <c r="B191" s="2" t="str">
        <v>-</v>
      </c>
      <c r="C191" s="2" t="str">
        <v>NO</v>
      </c>
    </row>
    <row r="192" spans="1:3" hidden="1" x14ac:dyDescent="0.35">
      <c r="A192" s="2" t="str">
        <v>-</v>
      </c>
      <c r="B192" s="2" t="str">
        <v>-</v>
      </c>
      <c r="C192" s="2" t="str">
        <v>NO</v>
      </c>
    </row>
    <row r="193" spans="1:3" hidden="1" x14ac:dyDescent="0.35">
      <c r="A193" s="2" t="str">
        <v>-</v>
      </c>
      <c r="B193" s="2" t="str">
        <v>-</v>
      </c>
      <c r="C193" s="2" t="str">
        <v>NO</v>
      </c>
    </row>
    <row r="194" spans="1:3" hidden="1" x14ac:dyDescent="0.35">
      <c r="A194" s="2" t="str">
        <v>-</v>
      </c>
      <c r="B194" s="2" t="str">
        <v>-</v>
      </c>
      <c r="C194" s="2" t="str">
        <v>NO</v>
      </c>
    </row>
    <row r="195" spans="1:3" hidden="1" x14ac:dyDescent="0.35">
      <c r="A195" s="2" t="str">
        <v>-</v>
      </c>
      <c r="B195" s="2" t="str">
        <v>-</v>
      </c>
      <c r="C195" s="2" t="str">
        <v>NO</v>
      </c>
    </row>
    <row r="196" spans="1:3" hidden="1" x14ac:dyDescent="0.35">
      <c r="A196" s="2" t="str">
        <v>-</v>
      </c>
      <c r="B196" s="2" t="str">
        <v>-</v>
      </c>
      <c r="C196" s="2" t="str">
        <v>NO</v>
      </c>
    </row>
    <row r="197" spans="1:3" hidden="1" x14ac:dyDescent="0.35">
      <c r="A197" s="2" t="str">
        <v>-</v>
      </c>
      <c r="B197" s="2" t="str">
        <v>-</v>
      </c>
      <c r="C197" s="2" t="str">
        <v>NO</v>
      </c>
    </row>
    <row r="198" spans="1:3" hidden="1" x14ac:dyDescent="0.35">
      <c r="A198" s="2" t="str">
        <v>-</v>
      </c>
      <c r="B198" s="2" t="str">
        <v>-</v>
      </c>
      <c r="C198" s="2" t="str">
        <v>NO</v>
      </c>
    </row>
    <row r="199" spans="1:3" hidden="1" x14ac:dyDescent="0.35">
      <c r="A199" s="2" t="str">
        <v>-</v>
      </c>
      <c r="B199" s="2" t="str">
        <v>-</v>
      </c>
      <c r="C199" s="2" t="str">
        <v>NO</v>
      </c>
    </row>
    <row r="200" spans="1:3" hidden="1" x14ac:dyDescent="0.35">
      <c r="A200" s="2" t="str">
        <v>-</v>
      </c>
      <c r="B200" s="2" t="str">
        <v>-</v>
      </c>
      <c r="C200" s="2" t="str">
        <v>NO</v>
      </c>
    </row>
    <row r="201" spans="1:3" hidden="1" x14ac:dyDescent="0.35">
      <c r="A201" s="2" t="str">
        <v>-</v>
      </c>
      <c r="B201" s="2" t="str">
        <v>-</v>
      </c>
      <c r="C201" s="2" t="str">
        <v>NO</v>
      </c>
    </row>
    <row r="202" spans="1:3" hidden="1" x14ac:dyDescent="0.35">
      <c r="A202" s="2" t="str">
        <v>-</v>
      </c>
      <c r="B202" s="2" t="str">
        <v>-</v>
      </c>
      <c r="C202" s="2" t="str">
        <v>NO</v>
      </c>
    </row>
    <row r="203" spans="1:3" hidden="1" x14ac:dyDescent="0.35">
      <c r="A203" s="2" t="str">
        <v>-</v>
      </c>
      <c r="B203" s="2" t="str">
        <v>-</v>
      </c>
      <c r="C203" s="2" t="str">
        <v>NO</v>
      </c>
    </row>
    <row r="204" spans="1:3" hidden="1" x14ac:dyDescent="0.35">
      <c r="A204" s="2" t="str">
        <v>-</v>
      </c>
      <c r="B204" s="2" t="str">
        <v>-</v>
      </c>
      <c r="C204" s="2" t="str">
        <v>NO</v>
      </c>
    </row>
    <row r="205" spans="1:3" hidden="1" x14ac:dyDescent="0.35">
      <c r="A205" s="2" t="str">
        <v>-</v>
      </c>
      <c r="B205" s="2" t="str">
        <v>-</v>
      </c>
      <c r="C205" s="2" t="str">
        <v>NO</v>
      </c>
    </row>
    <row r="206" spans="1:3" hidden="1" x14ac:dyDescent="0.35">
      <c r="A206" s="2" t="str">
        <v>-</v>
      </c>
      <c r="B206" s="2" t="str">
        <v>-</v>
      </c>
      <c r="C206" s="2" t="str">
        <v>NO</v>
      </c>
    </row>
    <row r="207" spans="1:3" hidden="1" x14ac:dyDescent="0.35">
      <c r="A207" s="2" t="str">
        <v>-</v>
      </c>
      <c r="B207" s="2" t="str">
        <v>-</v>
      </c>
      <c r="C207" s="2" t="str">
        <v>NO</v>
      </c>
    </row>
    <row r="208" spans="1:3" hidden="1" x14ac:dyDescent="0.35">
      <c r="A208" s="2" t="str">
        <v>-</v>
      </c>
      <c r="B208" s="2" t="str">
        <v>-</v>
      </c>
      <c r="C208" s="2" t="str">
        <v>NO</v>
      </c>
    </row>
    <row r="209" spans="1:3" hidden="1" x14ac:dyDescent="0.35">
      <c r="A209" s="2" t="str">
        <v>-</v>
      </c>
      <c r="B209" s="2" t="str">
        <v>-</v>
      </c>
      <c r="C209" s="2" t="str">
        <v>NO</v>
      </c>
    </row>
    <row r="210" spans="1:3" hidden="1" x14ac:dyDescent="0.35">
      <c r="A210" s="2" t="str">
        <v>-</v>
      </c>
      <c r="B210" s="2" t="str">
        <v>-</v>
      </c>
      <c r="C210" s="2" t="str">
        <v>NO</v>
      </c>
    </row>
    <row r="211" spans="1:3" hidden="1" x14ac:dyDescent="0.35">
      <c r="A211" s="2" t="str">
        <v>-</v>
      </c>
      <c r="B211" s="2" t="str">
        <v>-</v>
      </c>
      <c r="C211" s="2" t="str">
        <v>NO</v>
      </c>
    </row>
    <row r="212" spans="1:3" x14ac:dyDescent="0.35">
      <c r="A212" s="2">
        <v>68</v>
      </c>
      <c r="B212" s="2">
        <v>2</v>
      </c>
      <c r="C212" s="2" t="str">
        <v>SI</v>
      </c>
    </row>
    <row r="213" spans="1:3" hidden="1" x14ac:dyDescent="0.35">
      <c r="A213" s="2" t="str">
        <v>-</v>
      </c>
      <c r="B213" s="2" t="str">
        <v>-</v>
      </c>
      <c r="C213" s="2" t="str">
        <v>NO</v>
      </c>
    </row>
    <row r="214" spans="1:3" hidden="1" x14ac:dyDescent="0.35">
      <c r="A214" s="2" t="str">
        <v>-</v>
      </c>
      <c r="B214" s="2" t="str">
        <v>-</v>
      </c>
      <c r="C214" s="2" t="str">
        <v>NO</v>
      </c>
    </row>
    <row r="215" spans="1:3" hidden="1" x14ac:dyDescent="0.35">
      <c r="A215" s="2" t="str">
        <v>-</v>
      </c>
      <c r="B215" s="2" t="str">
        <v>-</v>
      </c>
      <c r="C215" s="2" t="str">
        <v>NO</v>
      </c>
    </row>
    <row r="216" spans="1:3" hidden="1" x14ac:dyDescent="0.35">
      <c r="A216" s="2" t="str">
        <v>-</v>
      </c>
      <c r="B216" s="2" t="str">
        <v>-</v>
      </c>
      <c r="C216" s="2" t="str">
        <v>NO</v>
      </c>
    </row>
    <row r="217" spans="1:3" hidden="1" x14ac:dyDescent="0.35">
      <c r="A217" s="2" t="str">
        <v>-</v>
      </c>
      <c r="B217" s="2" t="str">
        <v>-</v>
      </c>
      <c r="C217" s="2" t="str">
        <v>NO</v>
      </c>
    </row>
    <row r="218" spans="1:3" hidden="1" x14ac:dyDescent="0.35">
      <c r="A218" s="2" t="str">
        <v>-</v>
      </c>
      <c r="B218" s="2" t="str">
        <v>-</v>
      </c>
      <c r="C218" s="2" t="str">
        <v>NO</v>
      </c>
    </row>
    <row r="219" spans="1:3" hidden="1" x14ac:dyDescent="0.35">
      <c r="A219" s="2" t="str">
        <v>-</v>
      </c>
      <c r="B219" s="2" t="str">
        <v>-</v>
      </c>
      <c r="C219" s="2" t="str">
        <v>NO</v>
      </c>
    </row>
    <row r="220" spans="1:3" hidden="1" x14ac:dyDescent="0.35">
      <c r="A220" s="2" t="str">
        <v>-</v>
      </c>
      <c r="B220" s="2" t="str">
        <v>-</v>
      </c>
      <c r="C220" s="2" t="str">
        <v>NO</v>
      </c>
    </row>
    <row r="221" spans="1:3" hidden="1" x14ac:dyDescent="0.35">
      <c r="A221" s="2" t="str">
        <v>-</v>
      </c>
      <c r="B221" s="2" t="str">
        <v>-</v>
      </c>
      <c r="C221" s="2" t="str">
        <v>NO</v>
      </c>
    </row>
    <row r="222" spans="1:3" hidden="1" x14ac:dyDescent="0.35">
      <c r="A222" s="2" t="str">
        <v>-</v>
      </c>
      <c r="B222" s="2" t="str">
        <v>-</v>
      </c>
      <c r="C222" s="2" t="str">
        <v>NO</v>
      </c>
    </row>
    <row r="223" spans="1:3" hidden="1" x14ac:dyDescent="0.35">
      <c r="A223" s="2" t="str">
        <v>-</v>
      </c>
      <c r="B223" s="2" t="str">
        <v>-</v>
      </c>
      <c r="C223" s="2" t="str">
        <v>NO</v>
      </c>
    </row>
    <row r="224" spans="1:3" x14ac:dyDescent="0.35">
      <c r="A224" s="2">
        <v>48</v>
      </c>
      <c r="B224" s="2">
        <v>2</v>
      </c>
      <c r="C224" s="2" t="str">
        <v>SI</v>
      </c>
    </row>
    <row r="225" spans="1:3" x14ac:dyDescent="0.35">
      <c r="A225" s="2">
        <v>41</v>
      </c>
      <c r="B225" s="2">
        <v>2</v>
      </c>
      <c r="C225" s="2" t="str">
        <v>SI</v>
      </c>
    </row>
    <row r="226" spans="1:3" hidden="1" x14ac:dyDescent="0.35">
      <c r="A226" s="2" t="str">
        <v>-</v>
      </c>
      <c r="B226" s="2" t="str">
        <v>-</v>
      </c>
      <c r="C226" s="2" t="str">
        <v>NO</v>
      </c>
    </row>
    <row r="227" spans="1:3" hidden="1" x14ac:dyDescent="0.35">
      <c r="A227" s="2" t="str">
        <v>-</v>
      </c>
      <c r="B227" s="2" t="str">
        <v>-</v>
      </c>
      <c r="C227" s="2" t="str">
        <v>NO</v>
      </c>
    </row>
    <row r="228" spans="1:3" hidden="1" x14ac:dyDescent="0.35">
      <c r="A228" s="2" t="str">
        <v>-</v>
      </c>
      <c r="B228" s="2" t="str">
        <v>-</v>
      </c>
      <c r="C228" s="2" t="str">
        <v>NO</v>
      </c>
    </row>
    <row r="229" spans="1:3" hidden="1" x14ac:dyDescent="0.35">
      <c r="A229" s="2" t="str">
        <v>-</v>
      </c>
      <c r="B229" s="2" t="str">
        <v>-</v>
      </c>
      <c r="C229" s="2" t="str">
        <v>NO</v>
      </c>
    </row>
    <row r="230" spans="1:3" x14ac:dyDescent="0.35">
      <c r="A230" s="2">
        <v>49</v>
      </c>
      <c r="B230" s="2">
        <v>2</v>
      </c>
      <c r="C230" s="2" t="str">
        <v>SI</v>
      </c>
    </row>
    <row r="231" spans="1:3" hidden="1" x14ac:dyDescent="0.35">
      <c r="A231" s="2" t="str">
        <v>-</v>
      </c>
      <c r="B231" s="2" t="str">
        <v>-</v>
      </c>
      <c r="C231" s="2" t="str">
        <v>NO</v>
      </c>
    </row>
    <row r="232" spans="1:3" x14ac:dyDescent="0.35">
      <c r="A232" s="2">
        <v>47</v>
      </c>
      <c r="B232" s="2">
        <v>2</v>
      </c>
      <c r="C232" s="2" t="str">
        <v>SI</v>
      </c>
    </row>
    <row r="233" spans="1:3" hidden="1" x14ac:dyDescent="0.35">
      <c r="A233" s="2" t="str">
        <v>-</v>
      </c>
      <c r="B233" s="2" t="str">
        <v>-</v>
      </c>
      <c r="C233" s="2" t="str">
        <v>NO</v>
      </c>
    </row>
    <row r="234" spans="1:3" x14ac:dyDescent="0.35">
      <c r="A234" s="2">
        <v>46</v>
      </c>
      <c r="B234" s="2">
        <v>2</v>
      </c>
      <c r="C234" s="2" t="str">
        <v>SI</v>
      </c>
    </row>
    <row r="235" spans="1:3" hidden="1" x14ac:dyDescent="0.35">
      <c r="A235" s="2" t="str">
        <v>-</v>
      </c>
      <c r="B235" s="2" t="str">
        <v>-</v>
      </c>
      <c r="C235" s="2" t="str">
        <v>NO</v>
      </c>
    </row>
    <row r="236" spans="1:3" hidden="1" x14ac:dyDescent="0.35">
      <c r="A236" s="2" t="str">
        <v>-</v>
      </c>
      <c r="B236" s="2" t="str">
        <v>-</v>
      </c>
      <c r="C236" s="2" t="str">
        <v>NO</v>
      </c>
    </row>
    <row r="237" spans="1:3" hidden="1" x14ac:dyDescent="0.35">
      <c r="A237" s="2" t="str">
        <v>-</v>
      </c>
      <c r="B237" s="2" t="str">
        <v>-</v>
      </c>
      <c r="C237" s="2" t="str">
        <v>NO</v>
      </c>
    </row>
    <row r="238" spans="1:3" hidden="1" x14ac:dyDescent="0.35">
      <c r="A238" s="2" t="str">
        <v>-</v>
      </c>
      <c r="B238" s="2" t="str">
        <v>-</v>
      </c>
      <c r="C238" s="2" t="str">
        <v>NO</v>
      </c>
    </row>
    <row r="239" spans="1:3" x14ac:dyDescent="0.35">
      <c r="A239" s="2">
        <v>15</v>
      </c>
      <c r="B239" s="2">
        <v>2</v>
      </c>
      <c r="C239" s="2" t="str">
        <v>SI</v>
      </c>
    </row>
    <row r="240" spans="1:3" hidden="1" x14ac:dyDescent="0.35">
      <c r="A240" s="2" t="str">
        <v>-</v>
      </c>
      <c r="B240" s="2" t="str">
        <v>-</v>
      </c>
      <c r="C240" s="2" t="str">
        <v>NO</v>
      </c>
    </row>
    <row r="241" spans="1:3" hidden="1" x14ac:dyDescent="0.35">
      <c r="A241" s="2" t="str">
        <v>-</v>
      </c>
      <c r="B241" s="2" t="str">
        <v>-</v>
      </c>
      <c r="C241" s="2" t="str">
        <v>NO</v>
      </c>
    </row>
    <row r="242" spans="1:3" hidden="1" x14ac:dyDescent="0.35">
      <c r="A242" s="2" t="str">
        <v>-</v>
      </c>
      <c r="B242" s="2" t="str">
        <v>-</v>
      </c>
      <c r="C242" s="2" t="str">
        <v>NO</v>
      </c>
    </row>
    <row r="243" spans="1:3" hidden="1" x14ac:dyDescent="0.35">
      <c r="A243" s="2" t="str">
        <v>-</v>
      </c>
      <c r="B243" s="2" t="str">
        <v>-</v>
      </c>
      <c r="C243" s="2" t="str">
        <v>NO</v>
      </c>
    </row>
    <row r="244" spans="1:3" hidden="1" x14ac:dyDescent="0.35">
      <c r="A244" s="2" t="str">
        <v>-</v>
      </c>
      <c r="B244" s="2" t="str">
        <v>-</v>
      </c>
      <c r="C244" s="2" t="str">
        <v>NO</v>
      </c>
    </row>
    <row r="245" spans="1:3" x14ac:dyDescent="0.35">
      <c r="A245" s="2">
        <v>33</v>
      </c>
      <c r="B245" s="2">
        <v>2</v>
      </c>
      <c r="C245" s="2" t="str">
        <v>SI</v>
      </c>
    </row>
    <row r="246" spans="1:3" hidden="1" x14ac:dyDescent="0.35">
      <c r="A246" s="2" t="str">
        <v>-</v>
      </c>
      <c r="B246" s="2" t="str">
        <v>-</v>
      </c>
      <c r="C246" s="2" t="str">
        <v>NO</v>
      </c>
    </row>
    <row r="247" spans="1:3" hidden="1" x14ac:dyDescent="0.35">
      <c r="A247" s="2" t="str">
        <v>-</v>
      </c>
      <c r="B247" s="2" t="str">
        <v>-</v>
      </c>
      <c r="C247" s="2" t="str">
        <v>NO</v>
      </c>
    </row>
    <row r="248" spans="1:3" x14ac:dyDescent="0.35">
      <c r="A248" s="2">
        <v>37</v>
      </c>
      <c r="B248" s="2">
        <v>2</v>
      </c>
      <c r="C248" s="2" t="str">
        <v>SI</v>
      </c>
    </row>
    <row r="249" spans="1:3" x14ac:dyDescent="0.35">
      <c r="A249" s="2">
        <v>57</v>
      </c>
      <c r="B249" s="2">
        <v>2</v>
      </c>
      <c r="C249" s="2" t="str">
        <v>SI</v>
      </c>
    </row>
    <row r="250" spans="1:3" hidden="1" x14ac:dyDescent="0.35">
      <c r="A250" s="2" t="str">
        <v>-</v>
      </c>
      <c r="B250" s="2" t="str">
        <v>-</v>
      </c>
      <c r="C250" s="2" t="str">
        <v>NO</v>
      </c>
    </row>
    <row r="251" spans="1:3" x14ac:dyDescent="0.35">
      <c r="A251" s="2">
        <v>52</v>
      </c>
      <c r="B251" s="2">
        <v>2</v>
      </c>
      <c r="C251" s="2" t="str">
        <v>SI</v>
      </c>
    </row>
  </sheetData>
  <autoFilter ref="A1:C251" xr:uid="{156360BC-D2C3-47E4-898E-E741EE3FD23B}">
    <filterColumn colId="1">
      <filters>
        <filter val="2"/>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3154-4834-48C1-8824-637680D436E8}">
  <dimension ref="A1:E6"/>
  <sheetViews>
    <sheetView showGridLines="0" workbookViewId="0">
      <selection activeCell="P14" sqref="P14"/>
    </sheetView>
  </sheetViews>
  <sheetFormatPr defaultRowHeight="14.5" x14ac:dyDescent="0.35"/>
  <cols>
    <col min="1" max="1" width="11.81640625" bestFit="1" customWidth="1"/>
    <col min="2" max="2" width="20.08984375" bestFit="1" customWidth="1"/>
    <col min="3" max="3" width="8.81640625" bestFit="1" customWidth="1"/>
    <col min="4" max="4" width="22.1796875" bestFit="1" customWidth="1"/>
    <col min="5" max="5" width="27.6328125" bestFit="1" customWidth="1"/>
    <col min="6" max="6" width="21.453125" bestFit="1" customWidth="1"/>
  </cols>
  <sheetData>
    <row r="1" spans="1:5" ht="19" thickTop="1" thickBot="1" x14ac:dyDescent="0.4">
      <c r="A1" s="1" t="s">
        <v>11</v>
      </c>
      <c r="B1" s="1" t="s">
        <v>12</v>
      </c>
      <c r="C1" s="1" t="s">
        <v>13</v>
      </c>
      <c r="D1" s="1" t="s">
        <v>14</v>
      </c>
      <c r="E1" s="1" t="s">
        <v>15</v>
      </c>
    </row>
    <row r="2" spans="1:5" ht="15" thickTop="1" x14ac:dyDescent="0.35">
      <c r="A2" s="9">
        <f>_xlfn.STDEV.S(Sample!A2:A251)</f>
        <v>10.247655937552363</v>
      </c>
      <c r="B2" s="9">
        <f>AVERAGE(Sample!A2:A251)</f>
        <v>42.969696969696969</v>
      </c>
      <c r="C2" s="2">
        <f>COUNT(Sample!A2:A251)</f>
        <v>66</v>
      </c>
      <c r="D2" s="8">
        <v>0.95</v>
      </c>
      <c r="E2" s="9">
        <f>2*MIN(ZTEST(Sample!A2:A251,AVERAGE(Data!A2:A251),STDEVP(Data!A2:A251)),1-ZTEST(Sample!A2:A251,AVERAGE(Data!A2:A251),STDEVP(Data!A2:A251)))</f>
        <v>1.2006748632054563E-2</v>
      </c>
    </row>
    <row r="3" spans="1:5" x14ac:dyDescent="0.35">
      <c r="D3" s="6" t="s">
        <v>23</v>
      </c>
    </row>
    <row r="4" spans="1:5" x14ac:dyDescent="0.35">
      <c r="B4" s="6" t="s">
        <v>25</v>
      </c>
      <c r="D4" s="10">
        <f>B2-_xlfn.CONFIDENCE.NORM(1-$D$2,STDEVP(Data!$A$2:$A$251),C2)</f>
        <v>40.162567872315037</v>
      </c>
    </row>
    <row r="5" spans="1:5" x14ac:dyDescent="0.35">
      <c r="B5" s="7">
        <f>(AVERAGE(Sample!A4:A251) - AVERAGE(Data!A2:A251)) / (_xlfn.STDEV.P(Data!A2:A251) / SQRT('Statistical Insight'!C2))</f>
        <v>2.5119459217146072</v>
      </c>
      <c r="D5" s="6" t="s">
        <v>24</v>
      </c>
    </row>
    <row r="6" spans="1:5" x14ac:dyDescent="0.35">
      <c r="D6" s="10">
        <f>B2+_xlfn.CONFIDENCE.NORM(1-$D$2,STDEVP(Data!$A$2:$A$251),C2)</f>
        <v>45.7768260670789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9ECE-E912-4CAA-919D-5766D15CB8D5}">
  <dimension ref="A1:H67"/>
  <sheetViews>
    <sheetView showGridLines="0" tabSelected="1" workbookViewId="0">
      <selection activeCell="F12" sqref="F12"/>
    </sheetView>
  </sheetViews>
  <sheetFormatPr defaultRowHeight="14.5" x14ac:dyDescent="0.35"/>
  <cols>
    <col min="1" max="1" width="13.36328125" bestFit="1" customWidth="1"/>
    <col min="2" max="2" width="18.54296875" customWidth="1"/>
    <col min="3" max="3" width="16.26953125" bestFit="1" customWidth="1"/>
    <col min="6" max="6" width="24.81640625" customWidth="1"/>
    <col min="8" max="8" width="19.36328125" customWidth="1"/>
  </cols>
  <sheetData>
    <row r="1" spans="1:8" ht="57.5" customHeight="1" thickTop="1" thickBot="1" x14ac:dyDescent="0.4">
      <c r="A1" s="1" t="s">
        <v>16</v>
      </c>
      <c r="B1" s="5" t="s">
        <v>17</v>
      </c>
      <c r="C1" s="1" t="s">
        <v>18</v>
      </c>
      <c r="F1" s="5" t="s">
        <v>19</v>
      </c>
      <c r="H1" s="5" t="s">
        <v>20</v>
      </c>
    </row>
    <row r="2" spans="1:8" ht="15" thickTop="1" x14ac:dyDescent="0.35">
      <c r="A2" s="2">
        <v>36</v>
      </c>
      <c r="B2" s="2">
        <v>4</v>
      </c>
      <c r="C2" s="2">
        <v>43</v>
      </c>
      <c r="F2" s="2">
        <f>CORREL(A2:A67,B2:B67)</f>
        <v>-6.7597890627181342E-2</v>
      </c>
      <c r="H2" s="2">
        <f>CORREL(A2:A67,C2:C67)</f>
        <v>8.3114414151178404E-3</v>
      </c>
    </row>
    <row r="3" spans="1:8" x14ac:dyDescent="0.35">
      <c r="A3" s="2">
        <v>44</v>
      </c>
      <c r="B3" s="2">
        <v>5</v>
      </c>
      <c r="C3" s="2">
        <v>42</v>
      </c>
    </row>
    <row r="4" spans="1:8" x14ac:dyDescent="0.35">
      <c r="A4" s="2">
        <v>32</v>
      </c>
      <c r="B4" s="2">
        <v>6</v>
      </c>
      <c r="C4" s="2">
        <v>39</v>
      </c>
    </row>
    <row r="5" spans="1:8" x14ac:dyDescent="0.35">
      <c r="A5" s="2">
        <v>40</v>
      </c>
      <c r="B5" s="2">
        <v>8</v>
      </c>
      <c r="C5" s="2">
        <v>37</v>
      </c>
    </row>
    <row r="6" spans="1:8" x14ac:dyDescent="0.35">
      <c r="A6" s="2">
        <v>54</v>
      </c>
      <c r="B6" s="2">
        <v>8</v>
      </c>
      <c r="C6" s="2">
        <v>43</v>
      </c>
    </row>
    <row r="7" spans="1:8" x14ac:dyDescent="0.35">
      <c r="A7" s="2">
        <v>34</v>
      </c>
      <c r="B7" s="2">
        <v>5</v>
      </c>
      <c r="C7" s="2">
        <v>41</v>
      </c>
    </row>
    <row r="8" spans="1:8" x14ac:dyDescent="0.35">
      <c r="A8" s="2">
        <v>41</v>
      </c>
      <c r="B8" s="2">
        <v>8</v>
      </c>
      <c r="C8" s="2">
        <v>43</v>
      </c>
    </row>
    <row r="9" spans="1:8" x14ac:dyDescent="0.35">
      <c r="A9" s="2">
        <v>42</v>
      </c>
      <c r="B9" s="2">
        <v>8</v>
      </c>
      <c r="C9" s="2">
        <v>46</v>
      </c>
    </row>
    <row r="10" spans="1:8" x14ac:dyDescent="0.35">
      <c r="A10" s="2">
        <v>48</v>
      </c>
      <c r="B10" s="2">
        <v>8</v>
      </c>
      <c r="C10" s="2">
        <v>39</v>
      </c>
    </row>
    <row r="11" spans="1:8" x14ac:dyDescent="0.35">
      <c r="A11" s="2">
        <v>27</v>
      </c>
      <c r="B11" s="2">
        <v>5</v>
      </c>
      <c r="C11" s="2">
        <v>36</v>
      </c>
    </row>
    <row r="12" spans="1:8" x14ac:dyDescent="0.35">
      <c r="A12" s="2">
        <v>37</v>
      </c>
      <c r="B12" s="2">
        <v>8</v>
      </c>
      <c r="C12" s="2">
        <v>37</v>
      </c>
    </row>
    <row r="13" spans="1:8" x14ac:dyDescent="0.35">
      <c r="A13" s="2">
        <v>47</v>
      </c>
      <c r="B13" s="2">
        <v>9</v>
      </c>
      <c r="C13" s="2">
        <v>46</v>
      </c>
    </row>
    <row r="14" spans="1:8" x14ac:dyDescent="0.35">
      <c r="A14" s="2">
        <v>41</v>
      </c>
      <c r="B14" s="2">
        <v>7</v>
      </c>
      <c r="C14" s="2">
        <v>38</v>
      </c>
    </row>
    <row r="15" spans="1:8" x14ac:dyDescent="0.35">
      <c r="A15" s="2">
        <v>49</v>
      </c>
      <c r="B15" s="2">
        <v>9</v>
      </c>
      <c r="C15" s="2">
        <v>43</v>
      </c>
    </row>
    <row r="16" spans="1:8" x14ac:dyDescent="0.35">
      <c r="A16" s="2">
        <v>46</v>
      </c>
      <c r="B16" s="2">
        <v>4</v>
      </c>
      <c r="C16" s="2">
        <v>44</v>
      </c>
    </row>
    <row r="17" spans="1:3" x14ac:dyDescent="0.35">
      <c r="A17" s="2">
        <v>42</v>
      </c>
      <c r="B17" s="2">
        <v>8</v>
      </c>
      <c r="C17" s="2">
        <v>47</v>
      </c>
    </row>
    <row r="18" spans="1:3" x14ac:dyDescent="0.35">
      <c r="A18" s="2">
        <v>36</v>
      </c>
      <c r="B18" s="2">
        <v>9</v>
      </c>
      <c r="C18" s="2">
        <v>36</v>
      </c>
    </row>
    <row r="19" spans="1:3" x14ac:dyDescent="0.35">
      <c r="A19" s="2">
        <v>36</v>
      </c>
      <c r="B19" s="2">
        <v>4</v>
      </c>
      <c r="C19" s="2">
        <v>37</v>
      </c>
    </row>
    <row r="20" spans="1:3" x14ac:dyDescent="0.35">
      <c r="A20" s="2">
        <v>40</v>
      </c>
      <c r="B20" s="2">
        <v>4</v>
      </c>
      <c r="C20" s="2">
        <v>47</v>
      </c>
    </row>
    <row r="21" spans="1:3" x14ac:dyDescent="0.35">
      <c r="A21" s="2">
        <v>49</v>
      </c>
      <c r="B21" s="2">
        <v>5</v>
      </c>
      <c r="C21" s="2">
        <v>38</v>
      </c>
    </row>
    <row r="22" spans="1:3" x14ac:dyDescent="0.35">
      <c r="A22" s="2">
        <v>55</v>
      </c>
      <c r="B22" s="2">
        <v>8</v>
      </c>
      <c r="C22" s="2">
        <v>46</v>
      </c>
    </row>
    <row r="23" spans="1:3" x14ac:dyDescent="0.35">
      <c r="A23" s="2">
        <v>55</v>
      </c>
      <c r="B23" s="2">
        <v>8</v>
      </c>
      <c r="C23" s="2">
        <v>35</v>
      </c>
    </row>
    <row r="24" spans="1:3" x14ac:dyDescent="0.35">
      <c r="A24" s="2">
        <v>45</v>
      </c>
      <c r="B24" s="2">
        <v>7</v>
      </c>
      <c r="C24" s="2">
        <v>45</v>
      </c>
    </row>
    <row r="25" spans="1:3" x14ac:dyDescent="0.35">
      <c r="A25" s="2">
        <v>45</v>
      </c>
      <c r="B25" s="2">
        <v>8</v>
      </c>
      <c r="C25" s="2">
        <v>42</v>
      </c>
    </row>
    <row r="26" spans="1:3" x14ac:dyDescent="0.35">
      <c r="A26" s="2">
        <v>25</v>
      </c>
      <c r="B26" s="2">
        <v>7</v>
      </c>
      <c r="C26" s="2">
        <v>45</v>
      </c>
    </row>
    <row r="27" spans="1:3" x14ac:dyDescent="0.35">
      <c r="A27" s="2">
        <v>37</v>
      </c>
      <c r="B27" s="2">
        <v>5</v>
      </c>
      <c r="C27" s="2">
        <v>37</v>
      </c>
    </row>
    <row r="28" spans="1:3" x14ac:dyDescent="0.35">
      <c r="A28" s="2">
        <v>50</v>
      </c>
      <c r="B28" s="2">
        <v>6</v>
      </c>
      <c r="C28" s="2">
        <v>35</v>
      </c>
    </row>
    <row r="29" spans="1:3" x14ac:dyDescent="0.35">
      <c r="A29" s="2">
        <v>30</v>
      </c>
      <c r="B29" s="2">
        <v>9</v>
      </c>
      <c r="C29" s="2">
        <v>37</v>
      </c>
    </row>
    <row r="30" spans="1:3" x14ac:dyDescent="0.35">
      <c r="A30" s="2">
        <v>52</v>
      </c>
      <c r="B30" s="2">
        <v>5</v>
      </c>
      <c r="C30" s="2">
        <v>40</v>
      </c>
    </row>
    <row r="31" spans="1:3" x14ac:dyDescent="0.35">
      <c r="A31" s="2">
        <v>43</v>
      </c>
      <c r="B31" s="2">
        <v>6</v>
      </c>
      <c r="C31" s="2">
        <v>43</v>
      </c>
    </row>
    <row r="32" spans="1:3" x14ac:dyDescent="0.35">
      <c r="A32" s="2">
        <v>59</v>
      </c>
      <c r="B32" s="2">
        <v>7</v>
      </c>
      <c r="C32" s="2">
        <v>40</v>
      </c>
    </row>
    <row r="33" spans="1:3" x14ac:dyDescent="0.35">
      <c r="A33" s="2">
        <v>39</v>
      </c>
      <c r="B33" s="2">
        <v>7</v>
      </c>
      <c r="C33" s="2">
        <v>44</v>
      </c>
    </row>
    <row r="34" spans="1:3" x14ac:dyDescent="0.35">
      <c r="A34" s="2">
        <v>25</v>
      </c>
      <c r="B34" s="2">
        <v>9</v>
      </c>
      <c r="C34" s="2">
        <v>45</v>
      </c>
    </row>
    <row r="35" spans="1:3" x14ac:dyDescent="0.35">
      <c r="A35" s="2">
        <v>55</v>
      </c>
      <c r="B35" s="2">
        <v>7</v>
      </c>
      <c r="C35" s="2">
        <v>44</v>
      </c>
    </row>
    <row r="36" spans="1:3" x14ac:dyDescent="0.35">
      <c r="A36" s="2">
        <v>27</v>
      </c>
      <c r="B36" s="2">
        <v>6</v>
      </c>
      <c r="C36" s="2">
        <v>44</v>
      </c>
    </row>
    <row r="37" spans="1:3" x14ac:dyDescent="0.35">
      <c r="A37" s="2">
        <v>43</v>
      </c>
      <c r="B37" s="2">
        <v>6</v>
      </c>
      <c r="C37" s="2">
        <v>44</v>
      </c>
    </row>
    <row r="38" spans="1:3" x14ac:dyDescent="0.35">
      <c r="A38" s="2">
        <v>47</v>
      </c>
      <c r="B38" s="2">
        <v>7</v>
      </c>
      <c r="C38" s="2">
        <v>36</v>
      </c>
    </row>
    <row r="39" spans="1:3" x14ac:dyDescent="0.35">
      <c r="A39" s="2">
        <v>64</v>
      </c>
      <c r="B39" s="2">
        <v>6</v>
      </c>
      <c r="C39" s="2">
        <v>36</v>
      </c>
    </row>
    <row r="40" spans="1:3" x14ac:dyDescent="0.35">
      <c r="A40" s="2">
        <v>58</v>
      </c>
      <c r="B40" s="2">
        <v>6</v>
      </c>
      <c r="C40" s="2">
        <v>44</v>
      </c>
    </row>
    <row r="41" spans="1:3" x14ac:dyDescent="0.35">
      <c r="A41" s="2">
        <v>33</v>
      </c>
      <c r="B41" s="2">
        <v>6</v>
      </c>
      <c r="C41" s="2">
        <v>42</v>
      </c>
    </row>
    <row r="42" spans="1:3" x14ac:dyDescent="0.35">
      <c r="A42" s="2">
        <v>56</v>
      </c>
      <c r="B42" s="2">
        <v>9</v>
      </c>
      <c r="C42" s="2">
        <v>35</v>
      </c>
    </row>
    <row r="43" spans="1:3" x14ac:dyDescent="0.35">
      <c r="A43" s="2">
        <v>46</v>
      </c>
      <c r="B43" s="2">
        <v>8</v>
      </c>
      <c r="C43" s="2">
        <v>42</v>
      </c>
    </row>
    <row r="44" spans="1:3" x14ac:dyDescent="0.35">
      <c r="A44" s="2">
        <v>22</v>
      </c>
      <c r="B44" s="2">
        <v>8</v>
      </c>
      <c r="C44" s="2">
        <v>45</v>
      </c>
    </row>
    <row r="45" spans="1:3" x14ac:dyDescent="0.35">
      <c r="A45" s="2">
        <v>41</v>
      </c>
      <c r="B45" s="2">
        <v>4</v>
      </c>
      <c r="C45" s="2">
        <v>36</v>
      </c>
    </row>
    <row r="46" spans="1:3" x14ac:dyDescent="0.35">
      <c r="A46" s="2">
        <v>37</v>
      </c>
      <c r="B46" s="2">
        <v>9</v>
      </c>
      <c r="C46" s="2">
        <v>47</v>
      </c>
    </row>
    <row r="47" spans="1:3" x14ac:dyDescent="0.35">
      <c r="A47" s="2">
        <v>43</v>
      </c>
      <c r="B47" s="2">
        <v>7</v>
      </c>
      <c r="C47" s="2">
        <v>35</v>
      </c>
    </row>
    <row r="48" spans="1:3" x14ac:dyDescent="0.35">
      <c r="A48" s="2">
        <v>46</v>
      </c>
      <c r="B48" s="2">
        <v>4</v>
      </c>
      <c r="C48" s="2">
        <v>45</v>
      </c>
    </row>
    <row r="49" spans="1:3" x14ac:dyDescent="0.35">
      <c r="A49" s="2">
        <v>46</v>
      </c>
      <c r="B49" s="2">
        <v>9</v>
      </c>
      <c r="C49" s="2">
        <v>36</v>
      </c>
    </row>
    <row r="50" spans="1:3" x14ac:dyDescent="0.35">
      <c r="A50" s="2">
        <v>60</v>
      </c>
      <c r="B50" s="2">
        <v>5</v>
      </c>
      <c r="C50" s="2">
        <v>43</v>
      </c>
    </row>
    <row r="51" spans="1:3" x14ac:dyDescent="0.35">
      <c r="A51" s="2">
        <v>41</v>
      </c>
      <c r="B51" s="2">
        <v>4</v>
      </c>
      <c r="C51" s="2">
        <v>38</v>
      </c>
    </row>
    <row r="52" spans="1:3" x14ac:dyDescent="0.35">
      <c r="A52" s="2">
        <v>30</v>
      </c>
      <c r="B52" s="2">
        <v>7</v>
      </c>
      <c r="C52" s="2">
        <v>37</v>
      </c>
    </row>
    <row r="53" spans="1:3" x14ac:dyDescent="0.35">
      <c r="A53" s="2">
        <v>33</v>
      </c>
      <c r="B53" s="2">
        <v>7</v>
      </c>
      <c r="C53" s="2">
        <v>46</v>
      </c>
    </row>
    <row r="54" spans="1:3" x14ac:dyDescent="0.35">
      <c r="A54" s="2">
        <v>47</v>
      </c>
      <c r="B54" s="2">
        <v>6</v>
      </c>
      <c r="C54" s="2">
        <v>41</v>
      </c>
    </row>
    <row r="55" spans="1:3" x14ac:dyDescent="0.35">
      <c r="A55" s="2">
        <v>41</v>
      </c>
      <c r="B55" s="2">
        <v>8</v>
      </c>
      <c r="C55" s="2">
        <v>41</v>
      </c>
    </row>
    <row r="56" spans="1:3" x14ac:dyDescent="0.35">
      <c r="A56" s="2">
        <v>46</v>
      </c>
      <c r="B56" s="2">
        <v>5</v>
      </c>
      <c r="C56" s="2">
        <v>46</v>
      </c>
    </row>
    <row r="57" spans="1:3" x14ac:dyDescent="0.35">
      <c r="A57" s="2">
        <v>68</v>
      </c>
      <c r="B57" s="2">
        <v>6</v>
      </c>
      <c r="C57" s="2">
        <v>44</v>
      </c>
    </row>
    <row r="58" spans="1:3" x14ac:dyDescent="0.35">
      <c r="A58" s="2">
        <v>48</v>
      </c>
      <c r="B58" s="2">
        <v>5</v>
      </c>
      <c r="C58" s="2">
        <v>46</v>
      </c>
    </row>
    <row r="59" spans="1:3" x14ac:dyDescent="0.35">
      <c r="A59" s="2">
        <v>41</v>
      </c>
      <c r="B59" s="2">
        <v>8</v>
      </c>
      <c r="C59" s="2">
        <v>45</v>
      </c>
    </row>
    <row r="60" spans="1:3" x14ac:dyDescent="0.35">
      <c r="A60" s="2">
        <v>49</v>
      </c>
      <c r="B60" s="2">
        <v>8</v>
      </c>
      <c r="C60" s="2">
        <v>39</v>
      </c>
    </row>
    <row r="61" spans="1:3" x14ac:dyDescent="0.35">
      <c r="A61" s="2">
        <v>47</v>
      </c>
      <c r="B61" s="2">
        <v>6</v>
      </c>
      <c r="C61" s="2">
        <v>37</v>
      </c>
    </row>
    <row r="62" spans="1:3" x14ac:dyDescent="0.35">
      <c r="A62" s="2">
        <v>46</v>
      </c>
      <c r="B62" s="2">
        <v>4</v>
      </c>
      <c r="C62" s="2">
        <v>41</v>
      </c>
    </row>
    <row r="63" spans="1:3" x14ac:dyDescent="0.35">
      <c r="A63" s="2">
        <v>15</v>
      </c>
      <c r="B63" s="2">
        <v>7</v>
      </c>
      <c r="C63" s="2">
        <v>36</v>
      </c>
    </row>
    <row r="64" spans="1:3" x14ac:dyDescent="0.35">
      <c r="A64" s="2">
        <v>33</v>
      </c>
      <c r="B64" s="2">
        <v>7</v>
      </c>
      <c r="C64" s="2">
        <v>45</v>
      </c>
    </row>
    <row r="65" spans="1:3" x14ac:dyDescent="0.35">
      <c r="A65" s="2">
        <v>37</v>
      </c>
      <c r="B65" s="2">
        <v>8</v>
      </c>
      <c r="C65" s="2">
        <v>41</v>
      </c>
    </row>
    <row r="66" spans="1:3" x14ac:dyDescent="0.35">
      <c r="A66" s="2">
        <v>57</v>
      </c>
      <c r="B66" s="2">
        <v>5</v>
      </c>
      <c r="C66" s="2">
        <v>46</v>
      </c>
    </row>
    <row r="67" spans="1:3" x14ac:dyDescent="0.35">
      <c r="A67" s="2">
        <v>52</v>
      </c>
      <c r="B67" s="2">
        <v>8</v>
      </c>
      <c r="C67" s="2">
        <v>38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A0A84-E5A2-43C5-A48B-A380D61445F2}">
  <dimension ref="A1:F251"/>
  <sheetViews>
    <sheetView showGridLines="0" workbookViewId="0">
      <selection activeCell="E24" sqref="E24"/>
    </sheetView>
  </sheetViews>
  <sheetFormatPr defaultRowHeight="14.5" x14ac:dyDescent="0.35"/>
  <cols>
    <col min="1" max="2" width="9.1796875" customWidth="1"/>
    <col min="4" max="4" width="9.81640625" customWidth="1"/>
    <col min="5" max="5" width="36.7265625" customWidth="1"/>
    <col min="6" max="6" width="8.90625" customWidth="1"/>
    <col min="12" max="12" width="33.453125" bestFit="1" customWidth="1"/>
  </cols>
  <sheetData>
    <row r="1" spans="1:2" ht="37" thickTop="1" thickBot="1" x14ac:dyDescent="0.4">
      <c r="A1" s="5" t="s">
        <v>22</v>
      </c>
      <c r="B1" s="5" t="s">
        <v>21</v>
      </c>
    </row>
    <row r="2" spans="1:2" ht="15" thickTop="1" x14ac:dyDescent="0.35">
      <c r="A2" s="2">
        <v>1</v>
      </c>
      <c r="B2" s="2">
        <v>38</v>
      </c>
    </row>
    <row r="3" spans="1:2" x14ac:dyDescent="0.35">
      <c r="A3" s="2">
        <v>2</v>
      </c>
      <c r="B3" s="2">
        <v>38</v>
      </c>
    </row>
    <row r="4" spans="1:2" x14ac:dyDescent="0.35">
      <c r="A4" s="2">
        <v>3</v>
      </c>
      <c r="B4" s="2">
        <v>36</v>
      </c>
    </row>
    <row r="5" spans="1:2" x14ac:dyDescent="0.35">
      <c r="A5" s="2">
        <v>4</v>
      </c>
      <c r="B5" s="2">
        <v>50</v>
      </c>
    </row>
    <row r="6" spans="1:2" x14ac:dyDescent="0.35">
      <c r="A6" s="2">
        <v>5</v>
      </c>
      <c r="B6" s="2">
        <v>53</v>
      </c>
    </row>
    <row r="7" spans="1:2" x14ac:dyDescent="0.35">
      <c r="A7" s="2">
        <v>6</v>
      </c>
      <c r="B7" s="2">
        <v>58</v>
      </c>
    </row>
    <row r="8" spans="1:2" x14ac:dyDescent="0.35">
      <c r="A8" s="2">
        <v>7</v>
      </c>
      <c r="B8" s="2">
        <v>44</v>
      </c>
    </row>
    <row r="9" spans="1:2" x14ac:dyDescent="0.35">
      <c r="A9" s="2">
        <v>8</v>
      </c>
      <c r="B9" s="2">
        <v>32</v>
      </c>
    </row>
    <row r="10" spans="1:2" x14ac:dyDescent="0.35">
      <c r="A10" s="2">
        <v>9</v>
      </c>
      <c r="B10" s="2">
        <v>53</v>
      </c>
    </row>
    <row r="11" spans="1:2" x14ac:dyDescent="0.35">
      <c r="A11" s="2">
        <v>10</v>
      </c>
      <c r="B11" s="2">
        <v>45</v>
      </c>
    </row>
    <row r="12" spans="1:2" x14ac:dyDescent="0.35">
      <c r="A12" s="2">
        <v>11</v>
      </c>
      <c r="B12" s="2">
        <v>20</v>
      </c>
    </row>
    <row r="13" spans="1:2" x14ac:dyDescent="0.35">
      <c r="A13" s="2">
        <v>12</v>
      </c>
      <c r="B13" s="2">
        <v>47</v>
      </c>
    </row>
    <row r="14" spans="1:2" x14ac:dyDescent="0.35">
      <c r="A14" s="2">
        <v>13</v>
      </c>
      <c r="B14" s="2">
        <v>44</v>
      </c>
    </row>
    <row r="15" spans="1:2" x14ac:dyDescent="0.35">
      <c r="A15" s="2">
        <v>14</v>
      </c>
      <c r="B15" s="2">
        <v>40</v>
      </c>
    </row>
    <row r="16" spans="1:2" x14ac:dyDescent="0.35">
      <c r="A16" s="2">
        <v>15</v>
      </c>
      <c r="B16" s="2">
        <v>45</v>
      </c>
    </row>
    <row r="17" spans="1:6" x14ac:dyDescent="0.35">
      <c r="A17" s="2">
        <v>16</v>
      </c>
      <c r="B17" s="2">
        <v>34</v>
      </c>
    </row>
    <row r="18" spans="1:6" x14ac:dyDescent="0.35">
      <c r="A18" s="2">
        <v>17</v>
      </c>
      <c r="B18" s="2">
        <v>58</v>
      </c>
    </row>
    <row r="19" spans="1:6" x14ac:dyDescent="0.35">
      <c r="A19" s="2">
        <v>18</v>
      </c>
      <c r="B19" s="2">
        <v>37</v>
      </c>
    </row>
    <row r="20" spans="1:6" x14ac:dyDescent="0.35">
      <c r="A20" s="2">
        <v>19</v>
      </c>
      <c r="B20" s="2">
        <v>54</v>
      </c>
    </row>
    <row r="21" spans="1:6" x14ac:dyDescent="0.35">
      <c r="A21" s="2">
        <v>20</v>
      </c>
      <c r="B21" s="2">
        <v>34</v>
      </c>
    </row>
    <row r="22" spans="1:6" x14ac:dyDescent="0.35">
      <c r="A22" s="2">
        <v>21</v>
      </c>
      <c r="B22" s="2">
        <v>41</v>
      </c>
    </row>
    <row r="23" spans="1:6" x14ac:dyDescent="0.35">
      <c r="A23" s="2">
        <v>22</v>
      </c>
      <c r="B23" s="2">
        <v>11</v>
      </c>
    </row>
    <row r="24" spans="1:6" x14ac:dyDescent="0.35">
      <c r="A24" s="2">
        <v>23</v>
      </c>
      <c r="B24" s="2">
        <v>64</v>
      </c>
      <c r="E24" s="2" t="s">
        <v>26</v>
      </c>
      <c r="F24" s="11">
        <f>_xlfn.FORECAST.LINEAR(160,B2:B251,A2:A251)</f>
        <v>39.245731291700672</v>
      </c>
    </row>
    <row r="25" spans="1:6" x14ac:dyDescent="0.35">
      <c r="A25" s="2">
        <v>24</v>
      </c>
      <c r="B25" s="2">
        <v>30</v>
      </c>
    </row>
    <row r="26" spans="1:6" x14ac:dyDescent="0.35">
      <c r="A26" s="2">
        <v>25</v>
      </c>
      <c r="B26" s="2">
        <v>50</v>
      </c>
    </row>
    <row r="27" spans="1:6" x14ac:dyDescent="0.35">
      <c r="A27" s="2">
        <v>26</v>
      </c>
      <c r="B27" s="2">
        <v>21</v>
      </c>
    </row>
    <row r="28" spans="1:6" x14ac:dyDescent="0.35">
      <c r="A28" s="2">
        <v>27</v>
      </c>
      <c r="B28" s="2">
        <v>35</v>
      </c>
    </row>
    <row r="29" spans="1:6" x14ac:dyDescent="0.35">
      <c r="A29" s="2">
        <v>28</v>
      </c>
      <c r="B29" s="2">
        <v>36</v>
      </c>
    </row>
    <row r="30" spans="1:6" x14ac:dyDescent="0.35">
      <c r="A30" s="2">
        <v>29</v>
      </c>
      <c r="B30" s="2">
        <v>20</v>
      </c>
    </row>
    <row r="31" spans="1:6" x14ac:dyDescent="0.35">
      <c r="A31" s="2">
        <v>30</v>
      </c>
      <c r="B31" s="2">
        <v>47</v>
      </c>
    </row>
    <row r="32" spans="1:6" x14ac:dyDescent="0.35">
      <c r="A32" s="2">
        <v>31</v>
      </c>
      <c r="B32" s="2">
        <v>42</v>
      </c>
    </row>
    <row r="33" spans="1:2" x14ac:dyDescent="0.35">
      <c r="A33" s="2">
        <v>32</v>
      </c>
      <c r="B33" s="2">
        <v>42</v>
      </c>
    </row>
    <row r="34" spans="1:2" x14ac:dyDescent="0.35">
      <c r="A34" s="2">
        <v>33</v>
      </c>
      <c r="B34" s="2">
        <v>42</v>
      </c>
    </row>
    <row r="35" spans="1:2" x14ac:dyDescent="0.35">
      <c r="A35" s="2">
        <v>34</v>
      </c>
      <c r="B35" s="2">
        <v>32</v>
      </c>
    </row>
    <row r="36" spans="1:2" x14ac:dyDescent="0.35">
      <c r="A36" s="2">
        <v>35</v>
      </c>
      <c r="B36" s="2">
        <v>48</v>
      </c>
    </row>
    <row r="37" spans="1:2" x14ac:dyDescent="0.35">
      <c r="A37" s="2">
        <v>36</v>
      </c>
      <c r="B37" s="2">
        <v>47</v>
      </c>
    </row>
    <row r="38" spans="1:2" x14ac:dyDescent="0.35">
      <c r="A38" s="2">
        <v>37</v>
      </c>
      <c r="B38" s="2">
        <v>35</v>
      </c>
    </row>
    <row r="39" spans="1:2" x14ac:dyDescent="0.35">
      <c r="A39" s="2">
        <v>38</v>
      </c>
      <c r="B39" s="2">
        <v>27</v>
      </c>
    </row>
    <row r="40" spans="1:2" x14ac:dyDescent="0.35">
      <c r="A40" s="2">
        <v>39</v>
      </c>
      <c r="B40" s="2">
        <v>42</v>
      </c>
    </row>
    <row r="41" spans="1:2" x14ac:dyDescent="0.35">
      <c r="A41" s="2">
        <v>40</v>
      </c>
      <c r="B41" s="2">
        <v>37</v>
      </c>
    </row>
    <row r="42" spans="1:2" x14ac:dyDescent="0.35">
      <c r="A42" s="2">
        <v>41</v>
      </c>
      <c r="B42" s="2">
        <v>49</v>
      </c>
    </row>
    <row r="43" spans="1:2" x14ac:dyDescent="0.35">
      <c r="A43" s="2">
        <v>42</v>
      </c>
      <c r="B43" s="2">
        <v>37</v>
      </c>
    </row>
    <row r="44" spans="1:2" x14ac:dyDescent="0.35">
      <c r="A44" s="2">
        <v>43</v>
      </c>
      <c r="B44" s="2">
        <v>47</v>
      </c>
    </row>
    <row r="45" spans="1:2" x14ac:dyDescent="0.35">
      <c r="A45" s="2">
        <v>44</v>
      </c>
      <c r="B45" s="2">
        <v>26</v>
      </c>
    </row>
    <row r="46" spans="1:2" x14ac:dyDescent="0.35">
      <c r="A46" s="2">
        <v>45</v>
      </c>
      <c r="B46" s="2">
        <v>41</v>
      </c>
    </row>
    <row r="47" spans="1:2" x14ac:dyDescent="0.35">
      <c r="A47" s="2">
        <v>46</v>
      </c>
      <c r="B47" s="2">
        <v>47</v>
      </c>
    </row>
    <row r="48" spans="1:2" x14ac:dyDescent="0.35">
      <c r="A48" s="2">
        <v>47</v>
      </c>
      <c r="B48" s="2">
        <v>44</v>
      </c>
    </row>
    <row r="49" spans="1:2" x14ac:dyDescent="0.35">
      <c r="A49" s="2">
        <v>48</v>
      </c>
      <c r="B49" s="2">
        <v>49</v>
      </c>
    </row>
    <row r="50" spans="1:2" x14ac:dyDescent="0.35">
      <c r="A50" s="2">
        <v>49</v>
      </c>
      <c r="B50" s="2">
        <v>38</v>
      </c>
    </row>
    <row r="51" spans="1:2" x14ac:dyDescent="0.35">
      <c r="A51" s="2">
        <v>50</v>
      </c>
      <c r="B51" s="2">
        <v>33</v>
      </c>
    </row>
    <row r="52" spans="1:2" x14ac:dyDescent="0.35">
      <c r="A52" s="2">
        <v>51</v>
      </c>
      <c r="B52" s="2">
        <v>47</v>
      </c>
    </row>
    <row r="53" spans="1:2" x14ac:dyDescent="0.35">
      <c r="A53" s="2">
        <v>52</v>
      </c>
      <c r="B53" s="2">
        <v>35</v>
      </c>
    </row>
    <row r="54" spans="1:2" x14ac:dyDescent="0.35">
      <c r="A54" s="2">
        <v>53</v>
      </c>
      <c r="B54" s="2">
        <v>47</v>
      </c>
    </row>
    <row r="55" spans="1:2" x14ac:dyDescent="0.35">
      <c r="A55" s="2">
        <v>54</v>
      </c>
      <c r="B55" s="2">
        <v>21</v>
      </c>
    </row>
    <row r="56" spans="1:2" x14ac:dyDescent="0.35">
      <c r="A56" s="2">
        <v>55</v>
      </c>
      <c r="B56" s="2">
        <v>40</v>
      </c>
    </row>
    <row r="57" spans="1:2" x14ac:dyDescent="0.35">
      <c r="A57" s="2">
        <v>56</v>
      </c>
      <c r="B57" s="2">
        <v>46</v>
      </c>
    </row>
    <row r="58" spans="1:2" x14ac:dyDescent="0.35">
      <c r="A58" s="2">
        <v>57</v>
      </c>
      <c r="B58" s="2">
        <v>45</v>
      </c>
    </row>
    <row r="59" spans="1:2" x14ac:dyDescent="0.35">
      <c r="A59" s="2">
        <v>58</v>
      </c>
      <c r="B59" s="2">
        <v>44</v>
      </c>
    </row>
    <row r="60" spans="1:2" x14ac:dyDescent="0.35">
      <c r="A60" s="2">
        <v>59</v>
      </c>
      <c r="B60" s="2">
        <v>33</v>
      </c>
    </row>
    <row r="61" spans="1:2" x14ac:dyDescent="0.35">
      <c r="A61" s="2">
        <v>60</v>
      </c>
      <c r="B61" s="2">
        <v>42</v>
      </c>
    </row>
    <row r="62" spans="1:2" x14ac:dyDescent="0.35">
      <c r="A62" s="2">
        <v>61</v>
      </c>
      <c r="B62" s="2">
        <v>36</v>
      </c>
    </row>
    <row r="63" spans="1:2" x14ac:dyDescent="0.35">
      <c r="A63" s="2">
        <v>62</v>
      </c>
      <c r="B63" s="2">
        <v>14</v>
      </c>
    </row>
    <row r="64" spans="1:2" x14ac:dyDescent="0.35">
      <c r="A64" s="2">
        <v>63</v>
      </c>
      <c r="B64" s="2">
        <v>36</v>
      </c>
    </row>
    <row r="65" spans="1:2" x14ac:dyDescent="0.35">
      <c r="A65" s="2">
        <v>64</v>
      </c>
      <c r="B65" s="2">
        <v>45</v>
      </c>
    </row>
    <row r="66" spans="1:2" x14ac:dyDescent="0.35">
      <c r="A66" s="2">
        <v>65</v>
      </c>
      <c r="B66" s="2">
        <v>37</v>
      </c>
    </row>
    <row r="67" spans="1:2" x14ac:dyDescent="0.35">
      <c r="A67" s="2">
        <v>66</v>
      </c>
      <c r="B67" s="2">
        <v>17</v>
      </c>
    </row>
    <row r="68" spans="1:2" x14ac:dyDescent="0.35">
      <c r="A68" s="2">
        <v>67</v>
      </c>
      <c r="B68" s="2">
        <v>28</v>
      </c>
    </row>
    <row r="69" spans="1:2" x14ac:dyDescent="0.35">
      <c r="A69" s="2">
        <v>68</v>
      </c>
      <c r="B69" s="2">
        <v>37</v>
      </c>
    </row>
    <row r="70" spans="1:2" x14ac:dyDescent="0.35">
      <c r="A70" s="2">
        <v>69</v>
      </c>
      <c r="B70" s="2">
        <v>25</v>
      </c>
    </row>
    <row r="71" spans="1:2" x14ac:dyDescent="0.35">
      <c r="A71" s="2">
        <v>70</v>
      </c>
      <c r="B71" s="2">
        <v>40</v>
      </c>
    </row>
    <row r="72" spans="1:2" x14ac:dyDescent="0.35">
      <c r="A72" s="2">
        <v>71</v>
      </c>
      <c r="B72" s="2">
        <v>33</v>
      </c>
    </row>
    <row r="73" spans="1:2" x14ac:dyDescent="0.35">
      <c r="A73" s="2">
        <v>72</v>
      </c>
      <c r="B73" s="2">
        <v>54</v>
      </c>
    </row>
    <row r="74" spans="1:2" x14ac:dyDescent="0.35">
      <c r="A74" s="2">
        <v>73</v>
      </c>
      <c r="B74" s="2">
        <v>49</v>
      </c>
    </row>
    <row r="75" spans="1:2" x14ac:dyDescent="0.35">
      <c r="A75" s="2">
        <v>74</v>
      </c>
      <c r="B75" s="2">
        <v>28</v>
      </c>
    </row>
    <row r="76" spans="1:2" x14ac:dyDescent="0.35">
      <c r="A76" s="2">
        <v>75</v>
      </c>
      <c r="B76" s="2">
        <v>24</v>
      </c>
    </row>
    <row r="77" spans="1:2" x14ac:dyDescent="0.35">
      <c r="A77" s="2">
        <v>76</v>
      </c>
      <c r="B77" s="2">
        <v>32</v>
      </c>
    </row>
    <row r="78" spans="1:2" x14ac:dyDescent="0.35">
      <c r="A78" s="2">
        <v>77</v>
      </c>
      <c r="B78" s="2">
        <v>32</v>
      </c>
    </row>
    <row r="79" spans="1:2" x14ac:dyDescent="0.35">
      <c r="A79" s="2">
        <v>78</v>
      </c>
      <c r="B79" s="2">
        <v>55</v>
      </c>
    </row>
    <row r="80" spans="1:2" x14ac:dyDescent="0.35">
      <c r="A80" s="2">
        <v>79</v>
      </c>
      <c r="B80" s="2">
        <v>55</v>
      </c>
    </row>
    <row r="81" spans="1:2" x14ac:dyDescent="0.35">
      <c r="A81" s="2">
        <v>80</v>
      </c>
      <c r="B81" s="2">
        <v>52</v>
      </c>
    </row>
    <row r="82" spans="1:2" x14ac:dyDescent="0.35">
      <c r="A82" s="2">
        <v>81</v>
      </c>
      <c r="B82" s="2">
        <v>37</v>
      </c>
    </row>
    <row r="83" spans="1:2" x14ac:dyDescent="0.35">
      <c r="A83" s="2">
        <v>82</v>
      </c>
      <c r="B83" s="2">
        <v>45</v>
      </c>
    </row>
    <row r="84" spans="1:2" x14ac:dyDescent="0.35">
      <c r="A84" s="2">
        <v>83</v>
      </c>
      <c r="B84" s="2">
        <v>40</v>
      </c>
    </row>
    <row r="85" spans="1:2" x14ac:dyDescent="0.35">
      <c r="A85" s="2">
        <v>84</v>
      </c>
      <c r="B85" s="2">
        <v>30</v>
      </c>
    </row>
    <row r="86" spans="1:2" x14ac:dyDescent="0.35">
      <c r="A86" s="2">
        <v>85</v>
      </c>
      <c r="B86" s="2">
        <v>45</v>
      </c>
    </row>
    <row r="87" spans="1:2" x14ac:dyDescent="0.35">
      <c r="A87" s="2">
        <v>86</v>
      </c>
      <c r="B87" s="2">
        <v>27</v>
      </c>
    </row>
    <row r="88" spans="1:2" x14ac:dyDescent="0.35">
      <c r="A88" s="2">
        <v>87</v>
      </c>
      <c r="B88" s="2">
        <v>25</v>
      </c>
    </row>
    <row r="89" spans="1:2" x14ac:dyDescent="0.35">
      <c r="A89" s="2">
        <v>88</v>
      </c>
      <c r="B89" s="2">
        <v>39</v>
      </c>
    </row>
    <row r="90" spans="1:2" x14ac:dyDescent="0.35">
      <c r="A90" s="2">
        <v>89</v>
      </c>
      <c r="B90" s="2">
        <v>33</v>
      </c>
    </row>
    <row r="91" spans="1:2" x14ac:dyDescent="0.35">
      <c r="A91" s="2">
        <v>90</v>
      </c>
      <c r="B91" s="2">
        <v>50</v>
      </c>
    </row>
    <row r="92" spans="1:2" x14ac:dyDescent="0.35">
      <c r="A92" s="2">
        <v>91</v>
      </c>
      <c r="B92" s="2">
        <v>42</v>
      </c>
    </row>
    <row r="93" spans="1:2" x14ac:dyDescent="0.35">
      <c r="A93" s="2">
        <v>92</v>
      </c>
      <c r="B93" s="2">
        <v>37</v>
      </c>
    </row>
    <row r="94" spans="1:2" x14ac:dyDescent="0.35">
      <c r="A94" s="2">
        <v>93</v>
      </c>
      <c r="B94" s="2">
        <v>28</v>
      </c>
    </row>
    <row r="95" spans="1:2" x14ac:dyDescent="0.35">
      <c r="A95" s="2">
        <v>94</v>
      </c>
      <c r="B95" s="2">
        <v>24</v>
      </c>
    </row>
    <row r="96" spans="1:2" x14ac:dyDescent="0.35">
      <c r="A96" s="2">
        <v>95</v>
      </c>
      <c r="B96" s="2">
        <v>33</v>
      </c>
    </row>
    <row r="97" spans="1:2" x14ac:dyDescent="0.35">
      <c r="A97" s="2">
        <v>96</v>
      </c>
      <c r="B97" s="2">
        <v>44</v>
      </c>
    </row>
    <row r="98" spans="1:2" x14ac:dyDescent="0.35">
      <c r="A98" s="2">
        <v>97</v>
      </c>
      <c r="B98" s="2">
        <v>38</v>
      </c>
    </row>
    <row r="99" spans="1:2" x14ac:dyDescent="0.35">
      <c r="A99" s="2">
        <v>98</v>
      </c>
      <c r="B99" s="2">
        <v>40</v>
      </c>
    </row>
    <row r="100" spans="1:2" x14ac:dyDescent="0.35">
      <c r="A100" s="2">
        <v>99</v>
      </c>
      <c r="B100" s="2">
        <v>30</v>
      </c>
    </row>
    <row r="101" spans="1:2" x14ac:dyDescent="0.35">
      <c r="A101" s="2">
        <v>100</v>
      </c>
      <c r="B101" s="2">
        <v>30</v>
      </c>
    </row>
    <row r="102" spans="1:2" x14ac:dyDescent="0.35">
      <c r="A102" s="2">
        <v>101</v>
      </c>
      <c r="B102" s="2">
        <v>77</v>
      </c>
    </row>
    <row r="103" spans="1:2" x14ac:dyDescent="0.35">
      <c r="A103" s="2">
        <v>102</v>
      </c>
      <c r="B103" s="2">
        <v>50</v>
      </c>
    </row>
    <row r="104" spans="1:2" x14ac:dyDescent="0.35">
      <c r="A104" s="2">
        <v>103</v>
      </c>
      <c r="B104" s="2">
        <v>30</v>
      </c>
    </row>
    <row r="105" spans="1:2" x14ac:dyDescent="0.35">
      <c r="A105" s="2">
        <v>104</v>
      </c>
      <c r="B105" s="2">
        <v>27</v>
      </c>
    </row>
    <row r="106" spans="1:2" x14ac:dyDescent="0.35">
      <c r="A106" s="2">
        <v>105</v>
      </c>
      <c r="B106" s="2">
        <v>52</v>
      </c>
    </row>
    <row r="107" spans="1:2" x14ac:dyDescent="0.35">
      <c r="A107" s="2">
        <v>106</v>
      </c>
      <c r="B107" s="2">
        <v>43</v>
      </c>
    </row>
    <row r="108" spans="1:2" x14ac:dyDescent="0.35">
      <c r="A108" s="2">
        <v>107</v>
      </c>
      <c r="B108" s="2">
        <v>59</v>
      </c>
    </row>
    <row r="109" spans="1:2" x14ac:dyDescent="0.35">
      <c r="A109" s="2">
        <v>108</v>
      </c>
      <c r="B109" s="2">
        <v>39</v>
      </c>
    </row>
    <row r="110" spans="1:2" x14ac:dyDescent="0.35">
      <c r="A110" s="2">
        <v>109</v>
      </c>
      <c r="B110" s="2">
        <v>41</v>
      </c>
    </row>
    <row r="111" spans="1:2" x14ac:dyDescent="0.35">
      <c r="A111" s="2">
        <v>110</v>
      </c>
      <c r="B111" s="2">
        <v>31</v>
      </c>
    </row>
    <row r="112" spans="1:2" x14ac:dyDescent="0.35">
      <c r="A112" s="2">
        <v>111</v>
      </c>
      <c r="B112" s="2">
        <v>25</v>
      </c>
    </row>
    <row r="113" spans="1:2" x14ac:dyDescent="0.35">
      <c r="A113" s="2">
        <v>112</v>
      </c>
      <c r="B113" s="2">
        <v>51</v>
      </c>
    </row>
    <row r="114" spans="1:2" x14ac:dyDescent="0.35">
      <c r="A114" s="2">
        <v>113</v>
      </c>
      <c r="B114" s="2">
        <v>55</v>
      </c>
    </row>
    <row r="115" spans="1:2" x14ac:dyDescent="0.35">
      <c r="A115" s="2">
        <v>114</v>
      </c>
      <c r="B115" s="2">
        <v>64</v>
      </c>
    </row>
    <row r="116" spans="1:2" x14ac:dyDescent="0.35">
      <c r="A116" s="2">
        <v>115</v>
      </c>
      <c r="B116" s="2">
        <v>48</v>
      </c>
    </row>
    <row r="117" spans="1:2" x14ac:dyDescent="0.35">
      <c r="A117" s="2">
        <v>116</v>
      </c>
      <c r="B117" s="2">
        <v>44</v>
      </c>
    </row>
    <row r="118" spans="1:2" x14ac:dyDescent="0.35">
      <c r="A118" s="2">
        <v>117</v>
      </c>
      <c r="B118" s="2">
        <v>67</v>
      </c>
    </row>
    <row r="119" spans="1:2" x14ac:dyDescent="0.35">
      <c r="A119" s="2">
        <v>118</v>
      </c>
      <c r="B119" s="2">
        <v>43</v>
      </c>
    </row>
    <row r="120" spans="1:2" x14ac:dyDescent="0.35">
      <c r="A120" s="2">
        <v>119</v>
      </c>
      <c r="B120" s="2">
        <v>35</v>
      </c>
    </row>
    <row r="121" spans="1:2" x14ac:dyDescent="0.35">
      <c r="A121" s="2">
        <v>120</v>
      </c>
      <c r="B121" s="2">
        <v>29</v>
      </c>
    </row>
    <row r="122" spans="1:2" x14ac:dyDescent="0.35">
      <c r="A122" s="2">
        <v>121</v>
      </c>
      <c r="B122" s="2">
        <v>26</v>
      </c>
    </row>
    <row r="123" spans="1:2" x14ac:dyDescent="0.35">
      <c r="A123" s="2">
        <v>122</v>
      </c>
      <c r="B123" s="2">
        <v>30</v>
      </c>
    </row>
    <row r="124" spans="1:2" x14ac:dyDescent="0.35">
      <c r="A124" s="2">
        <v>123</v>
      </c>
      <c r="B124" s="2">
        <v>52</v>
      </c>
    </row>
    <row r="125" spans="1:2" x14ac:dyDescent="0.35">
      <c r="A125" s="2">
        <v>124</v>
      </c>
      <c r="B125" s="2">
        <v>27</v>
      </c>
    </row>
    <row r="126" spans="1:2" x14ac:dyDescent="0.35">
      <c r="A126" s="2">
        <v>125</v>
      </c>
      <c r="B126" s="2">
        <v>43</v>
      </c>
    </row>
    <row r="127" spans="1:2" x14ac:dyDescent="0.35">
      <c r="A127" s="2">
        <v>126</v>
      </c>
      <c r="B127" s="2">
        <v>47</v>
      </c>
    </row>
    <row r="128" spans="1:2" x14ac:dyDescent="0.35">
      <c r="A128" s="2">
        <v>127</v>
      </c>
      <c r="B128" s="2">
        <v>26</v>
      </c>
    </row>
    <row r="129" spans="1:2" x14ac:dyDescent="0.35">
      <c r="A129" s="2">
        <v>128</v>
      </c>
      <c r="B129" s="2">
        <v>40</v>
      </c>
    </row>
    <row r="130" spans="1:2" x14ac:dyDescent="0.35">
      <c r="A130" s="2">
        <v>129</v>
      </c>
      <c r="B130" s="2">
        <v>23</v>
      </c>
    </row>
    <row r="131" spans="1:2" x14ac:dyDescent="0.35">
      <c r="A131" s="2">
        <v>130</v>
      </c>
      <c r="B131" s="2">
        <v>22</v>
      </c>
    </row>
    <row r="132" spans="1:2" x14ac:dyDescent="0.35">
      <c r="A132" s="2">
        <v>131</v>
      </c>
      <c r="B132" s="2">
        <v>36</v>
      </c>
    </row>
    <row r="133" spans="1:2" x14ac:dyDescent="0.35">
      <c r="A133" s="2">
        <v>132</v>
      </c>
      <c r="B133" s="2">
        <v>38</v>
      </c>
    </row>
    <row r="134" spans="1:2" x14ac:dyDescent="0.35">
      <c r="A134" s="2">
        <v>133</v>
      </c>
      <c r="B134" s="2">
        <v>37</v>
      </c>
    </row>
    <row r="135" spans="1:2" x14ac:dyDescent="0.35">
      <c r="A135" s="2">
        <v>134</v>
      </c>
      <c r="B135" s="2">
        <v>44</v>
      </c>
    </row>
    <row r="136" spans="1:2" x14ac:dyDescent="0.35">
      <c r="A136" s="2">
        <v>135</v>
      </c>
      <c r="B136" s="2">
        <v>31</v>
      </c>
    </row>
    <row r="137" spans="1:2" x14ac:dyDescent="0.35">
      <c r="A137" s="2">
        <v>136</v>
      </c>
      <c r="B137" s="2">
        <v>64</v>
      </c>
    </row>
    <row r="138" spans="1:2" x14ac:dyDescent="0.35">
      <c r="A138" s="2">
        <v>137</v>
      </c>
      <c r="B138" s="2">
        <v>40</v>
      </c>
    </row>
    <row r="139" spans="1:2" x14ac:dyDescent="0.35">
      <c r="A139" s="2">
        <v>138</v>
      </c>
      <c r="B139" s="2">
        <v>35</v>
      </c>
    </row>
    <row r="140" spans="1:2" x14ac:dyDescent="0.35">
      <c r="A140" s="2">
        <v>139</v>
      </c>
      <c r="B140" s="2">
        <v>58</v>
      </c>
    </row>
    <row r="141" spans="1:2" x14ac:dyDescent="0.35">
      <c r="A141" s="2">
        <v>140</v>
      </c>
      <c r="B141" s="2">
        <v>35</v>
      </c>
    </row>
    <row r="142" spans="1:2" x14ac:dyDescent="0.35">
      <c r="A142" s="2">
        <v>141</v>
      </c>
      <c r="B142" s="2">
        <v>54</v>
      </c>
    </row>
    <row r="143" spans="1:2" x14ac:dyDescent="0.35">
      <c r="A143" s="2">
        <v>142</v>
      </c>
      <c r="B143" s="2">
        <v>20</v>
      </c>
    </row>
    <row r="144" spans="1:2" x14ac:dyDescent="0.35">
      <c r="A144" s="2">
        <v>143</v>
      </c>
      <c r="B144" s="2">
        <v>35</v>
      </c>
    </row>
    <row r="145" spans="1:2" x14ac:dyDescent="0.35">
      <c r="A145" s="2">
        <v>144</v>
      </c>
      <c r="B145" s="2">
        <v>45</v>
      </c>
    </row>
    <row r="146" spans="1:2" x14ac:dyDescent="0.35">
      <c r="A146" s="2">
        <v>145</v>
      </c>
      <c r="B146" s="2">
        <v>33</v>
      </c>
    </row>
    <row r="147" spans="1:2" x14ac:dyDescent="0.35">
      <c r="A147" s="2">
        <v>146</v>
      </c>
      <c r="B147" s="2">
        <v>42</v>
      </c>
    </row>
    <row r="148" spans="1:2" x14ac:dyDescent="0.35">
      <c r="A148" s="2">
        <v>147</v>
      </c>
      <c r="B148" s="2">
        <v>56</v>
      </c>
    </row>
    <row r="149" spans="1:2" x14ac:dyDescent="0.35">
      <c r="A149" s="2">
        <v>148</v>
      </c>
      <c r="B149" s="2">
        <v>53</v>
      </c>
    </row>
    <row r="150" spans="1:2" x14ac:dyDescent="0.35">
      <c r="A150" s="2">
        <v>149</v>
      </c>
      <c r="B150" s="2">
        <v>47</v>
      </c>
    </row>
    <row r="151" spans="1:2" x14ac:dyDescent="0.35">
      <c r="A151" s="2">
        <v>150</v>
      </c>
      <c r="B151" s="2">
        <v>46</v>
      </c>
    </row>
    <row r="152" spans="1:2" x14ac:dyDescent="0.35">
      <c r="A152" s="2">
        <v>151</v>
      </c>
      <c r="B152" s="2">
        <v>47</v>
      </c>
    </row>
    <row r="153" spans="1:2" x14ac:dyDescent="0.35">
      <c r="A153" s="2">
        <v>152</v>
      </c>
      <c r="B153" s="2">
        <v>32</v>
      </c>
    </row>
    <row r="154" spans="1:2" x14ac:dyDescent="0.35">
      <c r="A154" s="2">
        <v>153</v>
      </c>
      <c r="B154" s="2">
        <v>22</v>
      </c>
    </row>
    <row r="155" spans="1:2" x14ac:dyDescent="0.35">
      <c r="A155" s="2">
        <v>154</v>
      </c>
      <c r="B155" s="2">
        <v>34</v>
      </c>
    </row>
    <row r="156" spans="1:2" x14ac:dyDescent="0.35">
      <c r="A156" s="2">
        <v>155</v>
      </c>
      <c r="B156" s="2">
        <v>41</v>
      </c>
    </row>
    <row r="157" spans="1:2" x14ac:dyDescent="0.35">
      <c r="A157" s="2">
        <v>156</v>
      </c>
      <c r="B157" s="2">
        <v>57</v>
      </c>
    </row>
    <row r="158" spans="1:2" x14ac:dyDescent="0.35">
      <c r="A158" s="2">
        <v>157</v>
      </c>
      <c r="B158" s="2">
        <v>37</v>
      </c>
    </row>
    <row r="159" spans="1:2" x14ac:dyDescent="0.35">
      <c r="A159" s="2">
        <v>158</v>
      </c>
      <c r="B159" s="2">
        <v>45</v>
      </c>
    </row>
    <row r="160" spans="1:2" x14ac:dyDescent="0.35">
      <c r="A160" s="2">
        <v>159</v>
      </c>
      <c r="B160" s="2">
        <v>42</v>
      </c>
    </row>
    <row r="161" spans="1:2" x14ac:dyDescent="0.35">
      <c r="A161" s="4">
        <v>160</v>
      </c>
      <c r="B161" s="4">
        <v>53</v>
      </c>
    </row>
    <row r="162" spans="1:2" x14ac:dyDescent="0.35">
      <c r="A162" s="2">
        <v>161</v>
      </c>
      <c r="B162" s="2">
        <v>27</v>
      </c>
    </row>
    <row r="163" spans="1:2" x14ac:dyDescent="0.35">
      <c r="A163" s="2">
        <v>162</v>
      </c>
      <c r="B163" s="2">
        <v>38</v>
      </c>
    </row>
    <row r="164" spans="1:2" x14ac:dyDescent="0.35">
      <c r="A164" s="2">
        <v>163</v>
      </c>
      <c r="B164" s="2">
        <v>30</v>
      </c>
    </row>
    <row r="165" spans="1:2" x14ac:dyDescent="0.35">
      <c r="A165" s="2">
        <v>164</v>
      </c>
      <c r="B165" s="2">
        <v>43</v>
      </c>
    </row>
    <row r="166" spans="1:2" x14ac:dyDescent="0.35">
      <c r="A166" s="2">
        <v>165</v>
      </c>
      <c r="B166" s="2">
        <v>53</v>
      </c>
    </row>
    <row r="167" spans="1:2" x14ac:dyDescent="0.35">
      <c r="A167" s="2">
        <v>166</v>
      </c>
      <c r="B167" s="2">
        <v>46</v>
      </c>
    </row>
    <row r="168" spans="1:2" x14ac:dyDescent="0.35">
      <c r="A168" s="2">
        <v>167</v>
      </c>
      <c r="B168" s="2">
        <v>17</v>
      </c>
    </row>
    <row r="169" spans="1:2" x14ac:dyDescent="0.35">
      <c r="A169" s="2">
        <v>168</v>
      </c>
      <c r="B169" s="2">
        <v>46</v>
      </c>
    </row>
    <row r="170" spans="1:2" x14ac:dyDescent="0.35">
      <c r="A170" s="2">
        <v>169</v>
      </c>
      <c r="B170" s="2">
        <v>24</v>
      </c>
    </row>
    <row r="171" spans="1:2" x14ac:dyDescent="0.35">
      <c r="A171" s="2">
        <v>170</v>
      </c>
      <c r="B171" s="2">
        <v>35</v>
      </c>
    </row>
    <row r="172" spans="1:2" x14ac:dyDescent="0.35">
      <c r="A172" s="2">
        <v>171</v>
      </c>
      <c r="B172" s="2">
        <v>35</v>
      </c>
    </row>
    <row r="173" spans="1:2" x14ac:dyDescent="0.35">
      <c r="A173" s="2">
        <v>172</v>
      </c>
      <c r="B173" s="2">
        <v>46</v>
      </c>
    </row>
    <row r="174" spans="1:2" x14ac:dyDescent="0.35">
      <c r="A174" s="2">
        <v>173</v>
      </c>
      <c r="B174" s="2">
        <v>60</v>
      </c>
    </row>
    <row r="175" spans="1:2" x14ac:dyDescent="0.35">
      <c r="A175" s="2">
        <v>174</v>
      </c>
      <c r="B175" s="2">
        <v>28</v>
      </c>
    </row>
    <row r="176" spans="1:2" x14ac:dyDescent="0.35">
      <c r="A176" s="2">
        <v>175</v>
      </c>
      <c r="B176" s="2">
        <v>30</v>
      </c>
    </row>
    <row r="177" spans="1:2" x14ac:dyDescent="0.35">
      <c r="A177" s="2">
        <v>176</v>
      </c>
      <c r="B177" s="2">
        <v>41</v>
      </c>
    </row>
    <row r="178" spans="1:2" x14ac:dyDescent="0.35">
      <c r="A178" s="2">
        <v>177</v>
      </c>
      <c r="B178" s="2">
        <v>52</v>
      </c>
    </row>
    <row r="179" spans="1:2" x14ac:dyDescent="0.35">
      <c r="A179" s="2">
        <v>178</v>
      </c>
      <c r="B179" s="2">
        <v>30</v>
      </c>
    </row>
    <row r="180" spans="1:2" x14ac:dyDescent="0.35">
      <c r="A180" s="2">
        <v>179</v>
      </c>
      <c r="B180" s="2">
        <v>33</v>
      </c>
    </row>
    <row r="181" spans="1:2" x14ac:dyDescent="0.35">
      <c r="A181" s="2">
        <v>180</v>
      </c>
      <c r="B181" s="2">
        <v>33</v>
      </c>
    </row>
    <row r="182" spans="1:2" x14ac:dyDescent="0.35">
      <c r="A182" s="2">
        <v>181</v>
      </c>
      <c r="B182" s="2">
        <v>21</v>
      </c>
    </row>
    <row r="183" spans="1:2" x14ac:dyDescent="0.35">
      <c r="A183" s="2">
        <v>182</v>
      </c>
      <c r="B183" s="2">
        <v>33</v>
      </c>
    </row>
    <row r="184" spans="1:2" x14ac:dyDescent="0.35">
      <c r="A184" s="2">
        <v>183</v>
      </c>
      <c r="B184" s="2">
        <v>34</v>
      </c>
    </row>
    <row r="185" spans="1:2" x14ac:dyDescent="0.35">
      <c r="A185" s="2">
        <v>184</v>
      </c>
      <c r="B185" s="2">
        <v>12</v>
      </c>
    </row>
    <row r="186" spans="1:2" x14ac:dyDescent="0.35">
      <c r="A186" s="2">
        <v>185</v>
      </c>
      <c r="B186" s="2">
        <v>59</v>
      </c>
    </row>
    <row r="187" spans="1:2" x14ac:dyDescent="0.35">
      <c r="A187" s="2">
        <v>186</v>
      </c>
      <c r="B187" s="2">
        <v>47</v>
      </c>
    </row>
    <row r="188" spans="1:2" x14ac:dyDescent="0.35">
      <c r="A188" s="2">
        <v>187</v>
      </c>
      <c r="B188" s="2">
        <v>61</v>
      </c>
    </row>
    <row r="189" spans="1:2" x14ac:dyDescent="0.35">
      <c r="A189" s="2">
        <v>188</v>
      </c>
      <c r="B189" s="2">
        <v>41</v>
      </c>
    </row>
    <row r="190" spans="1:2" x14ac:dyDescent="0.35">
      <c r="A190" s="2">
        <v>189</v>
      </c>
      <c r="B190" s="2">
        <v>46</v>
      </c>
    </row>
    <row r="191" spans="1:2" x14ac:dyDescent="0.35">
      <c r="A191" s="2">
        <v>190</v>
      </c>
      <c r="B191" s="2">
        <v>54</v>
      </c>
    </row>
    <row r="192" spans="1:2" x14ac:dyDescent="0.35">
      <c r="A192" s="2">
        <v>191</v>
      </c>
      <c r="B192" s="2">
        <v>32</v>
      </c>
    </row>
    <row r="193" spans="1:2" x14ac:dyDescent="0.35">
      <c r="A193" s="2">
        <v>192</v>
      </c>
      <c r="B193" s="2">
        <v>45</v>
      </c>
    </row>
    <row r="194" spans="1:2" x14ac:dyDescent="0.35">
      <c r="A194" s="2">
        <v>193</v>
      </c>
      <c r="B194" s="2">
        <v>8</v>
      </c>
    </row>
    <row r="195" spans="1:2" x14ac:dyDescent="0.35">
      <c r="A195" s="2">
        <v>194</v>
      </c>
      <c r="B195" s="2">
        <v>37</v>
      </c>
    </row>
    <row r="196" spans="1:2" x14ac:dyDescent="0.35">
      <c r="A196" s="2">
        <v>195</v>
      </c>
      <c r="B196" s="2">
        <v>29</v>
      </c>
    </row>
    <row r="197" spans="1:2" x14ac:dyDescent="0.35">
      <c r="A197" s="2">
        <v>196</v>
      </c>
      <c r="B197" s="2">
        <v>36</v>
      </c>
    </row>
    <row r="198" spans="1:2" x14ac:dyDescent="0.35">
      <c r="A198" s="2">
        <v>197</v>
      </c>
      <c r="B198" s="2">
        <v>34</v>
      </c>
    </row>
    <row r="199" spans="1:2" x14ac:dyDescent="0.35">
      <c r="A199" s="2">
        <v>198</v>
      </c>
      <c r="B199" s="2">
        <v>30</v>
      </c>
    </row>
    <row r="200" spans="1:2" x14ac:dyDescent="0.35">
      <c r="A200" s="2">
        <v>199</v>
      </c>
      <c r="B200" s="2">
        <v>39</v>
      </c>
    </row>
    <row r="201" spans="1:2" x14ac:dyDescent="0.35">
      <c r="A201" s="2">
        <v>200</v>
      </c>
      <c r="B201" s="2">
        <v>34</v>
      </c>
    </row>
    <row r="202" spans="1:2" x14ac:dyDescent="0.35">
      <c r="A202" s="2">
        <v>201</v>
      </c>
      <c r="B202" s="2">
        <v>32</v>
      </c>
    </row>
    <row r="203" spans="1:2" x14ac:dyDescent="0.35">
      <c r="A203" s="2">
        <v>202</v>
      </c>
      <c r="B203" s="2">
        <v>47</v>
      </c>
    </row>
    <row r="204" spans="1:2" x14ac:dyDescent="0.35">
      <c r="A204" s="2">
        <v>203</v>
      </c>
      <c r="B204" s="2">
        <v>50</v>
      </c>
    </row>
    <row r="205" spans="1:2" x14ac:dyDescent="0.35">
      <c r="A205" s="2">
        <v>204</v>
      </c>
      <c r="B205" s="2">
        <v>46</v>
      </c>
    </row>
    <row r="206" spans="1:2" x14ac:dyDescent="0.35">
      <c r="A206" s="2">
        <v>205</v>
      </c>
      <c r="B206" s="2">
        <v>45</v>
      </c>
    </row>
    <row r="207" spans="1:2" x14ac:dyDescent="0.35">
      <c r="A207" s="2">
        <v>206</v>
      </c>
      <c r="B207" s="2">
        <v>63</v>
      </c>
    </row>
    <row r="208" spans="1:2" x14ac:dyDescent="0.35">
      <c r="A208" s="2">
        <v>207</v>
      </c>
      <c r="B208" s="2">
        <v>35</v>
      </c>
    </row>
    <row r="209" spans="1:2" x14ac:dyDescent="0.35">
      <c r="A209" s="2">
        <v>208</v>
      </c>
      <c r="B209" s="2">
        <v>32</v>
      </c>
    </row>
    <row r="210" spans="1:2" x14ac:dyDescent="0.35">
      <c r="A210" s="2">
        <v>209</v>
      </c>
      <c r="B210" s="2">
        <v>48</v>
      </c>
    </row>
    <row r="211" spans="1:2" x14ac:dyDescent="0.35">
      <c r="A211" s="2">
        <v>210</v>
      </c>
      <c r="B211" s="2">
        <v>32</v>
      </c>
    </row>
    <row r="212" spans="1:2" x14ac:dyDescent="0.35">
      <c r="A212" s="2">
        <v>211</v>
      </c>
      <c r="B212" s="2">
        <v>68</v>
      </c>
    </row>
    <row r="213" spans="1:2" x14ac:dyDescent="0.35">
      <c r="A213" s="2">
        <v>212</v>
      </c>
      <c r="B213" s="2">
        <v>37</v>
      </c>
    </row>
    <row r="214" spans="1:2" x14ac:dyDescent="0.35">
      <c r="A214" s="2">
        <v>213</v>
      </c>
      <c r="B214" s="2">
        <v>50</v>
      </c>
    </row>
    <row r="215" spans="1:2" x14ac:dyDescent="0.35">
      <c r="A215" s="2">
        <v>214</v>
      </c>
      <c r="B215" s="2">
        <v>41</v>
      </c>
    </row>
    <row r="216" spans="1:2" x14ac:dyDescent="0.35">
      <c r="A216" s="2">
        <v>215</v>
      </c>
      <c r="B216" s="2">
        <v>29</v>
      </c>
    </row>
    <row r="217" spans="1:2" x14ac:dyDescent="0.35">
      <c r="A217" s="2">
        <v>216</v>
      </c>
      <c r="B217" s="2">
        <v>29</v>
      </c>
    </row>
    <row r="218" spans="1:2" x14ac:dyDescent="0.35">
      <c r="A218" s="2">
        <v>217</v>
      </c>
      <c r="B218" s="2">
        <v>49</v>
      </c>
    </row>
    <row r="219" spans="1:2" x14ac:dyDescent="0.35">
      <c r="A219" s="2">
        <v>218</v>
      </c>
      <c r="B219" s="2">
        <v>15</v>
      </c>
    </row>
    <row r="220" spans="1:2" x14ac:dyDescent="0.35">
      <c r="A220" s="2">
        <v>219</v>
      </c>
      <c r="B220" s="2">
        <v>50</v>
      </c>
    </row>
    <row r="221" spans="1:2" x14ac:dyDescent="0.35">
      <c r="A221" s="2">
        <v>220</v>
      </c>
      <c r="B221" s="2">
        <v>46</v>
      </c>
    </row>
    <row r="222" spans="1:2" x14ac:dyDescent="0.35">
      <c r="A222" s="2">
        <v>221</v>
      </c>
      <c r="B222" s="2">
        <v>45</v>
      </c>
    </row>
    <row r="223" spans="1:2" x14ac:dyDescent="0.35">
      <c r="A223" s="2">
        <v>222</v>
      </c>
      <c r="B223" s="2">
        <v>33</v>
      </c>
    </row>
    <row r="224" spans="1:2" x14ac:dyDescent="0.35">
      <c r="A224" s="2">
        <v>223</v>
      </c>
      <c r="B224" s="2">
        <v>48</v>
      </c>
    </row>
    <row r="225" spans="1:2" x14ac:dyDescent="0.35">
      <c r="A225" s="2">
        <v>224</v>
      </c>
      <c r="B225" s="2">
        <v>41</v>
      </c>
    </row>
    <row r="226" spans="1:2" x14ac:dyDescent="0.35">
      <c r="A226" s="2">
        <v>225</v>
      </c>
      <c r="B226" s="2">
        <v>35</v>
      </c>
    </row>
    <row r="227" spans="1:2" x14ac:dyDescent="0.35">
      <c r="A227" s="2">
        <v>226</v>
      </c>
      <c r="B227" s="2">
        <v>27</v>
      </c>
    </row>
    <row r="228" spans="1:2" x14ac:dyDescent="0.35">
      <c r="A228" s="2">
        <v>227</v>
      </c>
      <c r="B228" s="2">
        <v>27</v>
      </c>
    </row>
    <row r="229" spans="1:2" x14ac:dyDescent="0.35">
      <c r="A229" s="2">
        <v>228</v>
      </c>
      <c r="B229" s="2">
        <v>40</v>
      </c>
    </row>
    <row r="230" spans="1:2" x14ac:dyDescent="0.35">
      <c r="A230" s="2">
        <v>229</v>
      </c>
      <c r="B230" s="2">
        <v>49</v>
      </c>
    </row>
    <row r="231" spans="1:2" x14ac:dyDescent="0.35">
      <c r="A231" s="2">
        <v>230</v>
      </c>
      <c r="B231" s="2">
        <v>1</v>
      </c>
    </row>
    <row r="232" spans="1:2" x14ac:dyDescent="0.35">
      <c r="A232" s="2">
        <v>231</v>
      </c>
      <c r="B232" s="2">
        <v>47</v>
      </c>
    </row>
    <row r="233" spans="1:2" x14ac:dyDescent="0.35">
      <c r="A233" s="2">
        <v>232</v>
      </c>
      <c r="B233" s="2">
        <v>45</v>
      </c>
    </row>
    <row r="234" spans="1:2" x14ac:dyDescent="0.35">
      <c r="A234" s="2">
        <v>233</v>
      </c>
      <c r="B234" s="2">
        <v>46</v>
      </c>
    </row>
    <row r="235" spans="1:2" x14ac:dyDescent="0.35">
      <c r="A235" s="2">
        <v>234</v>
      </c>
      <c r="B235" s="2">
        <v>55</v>
      </c>
    </row>
    <row r="236" spans="1:2" x14ac:dyDescent="0.35">
      <c r="A236" s="2">
        <v>235</v>
      </c>
      <c r="B236" s="2">
        <v>55</v>
      </c>
    </row>
    <row r="237" spans="1:2" x14ac:dyDescent="0.35">
      <c r="A237" s="2">
        <v>236</v>
      </c>
      <c r="B237" s="2">
        <v>16</v>
      </c>
    </row>
    <row r="238" spans="1:2" x14ac:dyDescent="0.35">
      <c r="A238" s="2">
        <v>237</v>
      </c>
      <c r="B238" s="2">
        <v>51</v>
      </c>
    </row>
    <row r="239" spans="1:2" x14ac:dyDescent="0.35">
      <c r="A239" s="2">
        <v>238</v>
      </c>
      <c r="B239" s="2">
        <v>15</v>
      </c>
    </row>
    <row r="240" spans="1:2" x14ac:dyDescent="0.35">
      <c r="A240" s="2">
        <v>239</v>
      </c>
      <c r="B240" s="2">
        <v>22</v>
      </c>
    </row>
    <row r="241" spans="1:2" x14ac:dyDescent="0.35">
      <c r="A241" s="2">
        <v>240</v>
      </c>
      <c r="B241" s="2">
        <v>47</v>
      </c>
    </row>
    <row r="242" spans="1:2" x14ac:dyDescent="0.35">
      <c r="A242" s="2">
        <v>241</v>
      </c>
      <c r="B242" s="2">
        <v>39</v>
      </c>
    </row>
    <row r="243" spans="1:2" x14ac:dyDescent="0.35">
      <c r="A243" s="2">
        <v>242</v>
      </c>
      <c r="B243" s="2">
        <v>35</v>
      </c>
    </row>
    <row r="244" spans="1:2" x14ac:dyDescent="0.35">
      <c r="A244" s="2">
        <v>243</v>
      </c>
      <c r="B244" s="2">
        <v>48</v>
      </c>
    </row>
    <row r="245" spans="1:2" x14ac:dyDescent="0.35">
      <c r="A245" s="2">
        <v>244</v>
      </c>
      <c r="B245" s="2">
        <v>33</v>
      </c>
    </row>
    <row r="246" spans="1:2" x14ac:dyDescent="0.35">
      <c r="A246" s="2">
        <v>245</v>
      </c>
      <c r="B246" s="2">
        <v>42</v>
      </c>
    </row>
    <row r="247" spans="1:2" x14ac:dyDescent="0.35">
      <c r="A247" s="2">
        <v>246</v>
      </c>
      <c r="B247" s="2">
        <v>35</v>
      </c>
    </row>
    <row r="248" spans="1:2" x14ac:dyDescent="0.35">
      <c r="A248" s="2">
        <v>247</v>
      </c>
      <c r="B248" s="2">
        <v>37</v>
      </c>
    </row>
    <row r="249" spans="1:2" x14ac:dyDescent="0.35">
      <c r="A249" s="2">
        <v>248</v>
      </c>
      <c r="B249" s="2">
        <v>57</v>
      </c>
    </row>
    <row r="250" spans="1:2" x14ac:dyDescent="0.35">
      <c r="A250" s="2">
        <v>249</v>
      </c>
      <c r="B250" s="2">
        <v>26</v>
      </c>
    </row>
    <row r="251" spans="1:2" x14ac:dyDescent="0.35">
      <c r="A251" s="2">
        <v>250</v>
      </c>
      <c r="B251" s="2">
        <v>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Parameters</vt:lpstr>
      <vt:lpstr>Data</vt:lpstr>
      <vt:lpstr>Sample</vt:lpstr>
      <vt:lpstr>Statistical Insight</vt:lpstr>
      <vt:lpstr> (Un)correlated Variables</vt:lpstr>
      <vt:lpstr>Linear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Lombardi</dc:creator>
  <cp:lastModifiedBy>Claudio Lombardi</cp:lastModifiedBy>
  <dcterms:created xsi:type="dcterms:W3CDTF">2015-06-05T18:19:34Z</dcterms:created>
  <dcterms:modified xsi:type="dcterms:W3CDTF">2026-10-28T08:17:09Z</dcterms:modified>
</cp:coreProperties>
</file>